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ipping Rate" sheetId="2" r:id="rId6"/>
    <sheet state="visible" name="For_why_use_Layo" sheetId="3" r:id="rId7"/>
    <sheet state="visible" name="Category - Model for weigh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tc={476aa054-8dbb-4515-ad5e-f2b7c2594405}</author>
    <author>tc={917d2c17-0160-4cc0-8465-b06549abb515}</author>
  </authors>
  <commentList>
    <comment authorId="0" xr:uid="{476aa054-8dbb-4515-ad5e-f2b7c2594405}" ref="J8">
      <text>
        <t xml:space="preserve">[Threaded comment]
 Your version of Excel allows you to read this threaded comment; however, any edits to it will get removed if the file is opened in a newer version of Excel. Learn more: https://go.microsoft.com/fwlink/?linkid=870924
Comment:
	keeping the Canadian estimates conservative (assuming the customer shops sales), the final price difference feels authentic and undeniable.
</t>
      </text>
    </comment>
    <comment authorId="1" xr:uid="{917d2c17-0160-4cc0-8465-b06549abb515}" ref="O7">
      <text>
        <t xml:space="preserve">[Threaded comment]
 Your version of Excel allows you to read this threaded comment; however, any edits to it will get removed if the file is opened in a newer version of Excel. Learn more: https://go.microsoft.com/fwlink/?linkid=870924
Comment:
	Add conversion to LB. show different way of assuming weight too. Show per cycle wardrobe qty. Put estimated weight and also show half qty price. train customers on how to estimate shipping charges without checking our price calculator to help me stay in their budget without it getting hectic
</t>
      </text>
    </comment>
  </commentList>
</comments>
</file>

<file path=xl/sharedStrings.xml><?xml version="1.0" encoding="utf-8"?>
<sst xmlns="http://schemas.openxmlformats.org/spreadsheetml/2006/main" count="468" uniqueCount="270">
  <si>
    <t>Buying Split</t>
  </si>
  <si>
    <t>Occasion</t>
  </si>
  <si>
    <t>Description</t>
  </si>
  <si>
    <t>Essential Quality</t>
  </si>
  <si>
    <t>Playwear, Lounging</t>
  </si>
  <si>
    <t>Reliable, well-made basics for daily use, without the brand markup.</t>
  </si>
  <si>
    <t>Add 5 Light Essentials (Ships Free)</t>
  </si>
  <si>
    <t>Premium Standard</t>
  </si>
  <si>
    <t>Outings, Daycare/School, Socializing</t>
  </si>
  <si>
    <t>Popular brands and stylish designs offering trusted quality.</t>
  </si>
  <si>
    <t>Include up to 5 small items (socks, innerwear, light towels, or accessories) at no extra shipping cost.</t>
  </si>
  <si>
    <t>High-End Exclusive</t>
  </si>
  <si>
    <t>Special Occasion, Gifts, Investment pieces, Event wear</t>
  </si>
  <si>
    <t>Luxury designer labels and exclusive items with elite brand status.</t>
  </si>
  <si>
    <t>Who do you regularly shop for? (Select all that apply)"</t>
  </si>
  <si>
    <t>Standard Retail &amp; Sales</t>
  </si>
  <si>
    <t>Avg. Weight(Kg)</t>
  </si>
  <si>
    <t>Category</t>
  </si>
  <si>
    <t>Typical Buying Cycle</t>
  </si>
  <si>
    <t>Clothing Requirement</t>
  </si>
  <si>
    <t>Buying %</t>
  </si>
  <si>
    <t>Brands in Canada</t>
  </si>
  <si>
    <t>Wardrobe Qty (Replenishment)</t>
  </si>
  <si>
    <t>Canada Avg Price per item</t>
  </si>
  <si>
    <t xml:space="preserve">Canada Price </t>
  </si>
  <si>
    <t>India Avg RS price</t>
  </si>
  <si>
    <t>India Avg Price</t>
  </si>
  <si>
    <t>Buying via India</t>
  </si>
  <si>
    <t>Summer</t>
  </si>
  <si>
    <t>Winter</t>
  </si>
  <si>
    <t>Mix</t>
  </si>
  <si>
    <t>Shipping Price (Cad)</t>
  </si>
  <si>
    <t>Total</t>
  </si>
  <si>
    <t>Difference</t>
  </si>
  <si>
    <t>Babies &amp; Toddlers (Ages 0-4)</t>
  </si>
  <si>
    <t>Every 3 to 6 months</t>
  </si>
  <si>
    <t>24 Items: 14 Tops, 10 Bottoms</t>
  </si>
  <si>
    <t>Walmart, Old Navy, Carter's basics</t>
  </si>
  <si>
    <t>micro-text: Frequent size changes</t>
  </si>
  <si>
    <t>Daycare, Outings</t>
  </si>
  <si>
    <t>Zara, H&amp;M, Gap Kids</t>
  </si>
  <si>
    <t>Special Occasions</t>
  </si>
  <si>
    <t>Boutiques, Ralph Lauren Baby</t>
  </si>
  <si>
    <t>94</t>
  </si>
  <si>
    <t>Growing Kids (Ages 5-10)</t>
  </si>
  <si>
    <t>Every 12 months (Annual)</t>
  </si>
  <si>
    <t>20 Items: 12 Tops, 8 Bottoms</t>
  </si>
  <si>
    <t>Play clothes, Lounging</t>
  </si>
  <si>
    <t>Walmart, Old Navy, Joe Fresh</t>
  </si>
  <si>
    <t>micro-text: Steady, annual size updates</t>
  </si>
  <si>
    <t>School, Outings</t>
  </si>
  <si>
    <t>Special Occasions, Gifts</t>
  </si>
  <si>
    <t>Boutiques, Ralph Lauren Kids, Roots</t>
  </si>
  <si>
    <t>110</t>
  </si>
  <si>
    <t>Teens (Ages 11-17)</t>
  </si>
  <si>
    <t>Every 6 to 12 months (Variable)</t>
  </si>
  <si>
    <t>17 Items: 10 Tops, 7 Bottoms</t>
  </si>
  <si>
    <t>Lounging, Undershirts</t>
  </si>
  <si>
    <t>Walmart, Old Navy basics, Amazon Essentials</t>
  </si>
  <si>
    <t>micro-text: Unpredictable growth spurts</t>
  </si>
  <si>
    <t>School, Socializing</t>
  </si>
  <si>
    <t>American Eagle, Zara, Nike, Hollister</t>
  </si>
  <si>
    <t>Lululemon, Aritzia, Boutique Streetwear</t>
  </si>
  <si>
    <t>126</t>
  </si>
  <si>
    <t>Adults (Ages 18+)</t>
  </si>
  <si>
    <t>Multi-year (Permanent Height)</t>
  </si>
  <si>
    <t>10 Items: 6 Tops, 4 Bottoms</t>
  </si>
  <si>
    <t>Loungewear, Layering pieces</t>
  </si>
  <si>
    <t>Old Navy, Uniqlo basics, Joe Fresh</t>
  </si>
  <si>
    <t>micro-text: Permanent sizing</t>
  </si>
  <si>
    <t>Workwear, Outings</t>
  </si>
  <si>
    <t>Zara, Banana Republic, Levi's, Massimo Dutti</t>
  </si>
  <si>
    <t>Investment pieces, Event wear</t>
  </si>
  <si>
    <t>Aritzia, Lululemon, Designer Labels</t>
  </si>
  <si>
    <t>Statement</t>
  </si>
  <si>
    <t>Savings Highlight</t>
  </si>
  <si>
    <t>General Thinking</t>
  </si>
  <si>
    <t>Your Typical Baby Wardrobe (Every 3-6 Months)</t>
  </si>
  <si>
    <t>Presenting the savings per cycle makes the abstract concept of cross-border shipping highly tangible.</t>
  </si>
  <si>
    <t>Most parents need about 24 items (14 tops &amp; 10 bottoms) to keep up with growth and daily messes.</t>
  </si>
  <si>
    <t>You could save $116 every single growth cycle.</t>
  </si>
  <si>
    <t>Your Typical Kids Wardrobe (Annual Refresh)</t>
  </si>
  <si>
    <t>Because kids in this age group grow more predictably, their wardrobe shifts from "frequent small buys" to one larger "annual wardrobe refresh."</t>
  </si>
  <si>
    <t>For ages 5 to 10, most parents buy around 20 core items (12 tops &amp; 8 bottoms) to build a wardrobe that lasts the entire school year.</t>
  </si>
  <si>
    <t>You could save $110 every single year, per child.</t>
  </si>
  <si>
    <t>Your Typical Teen Wardrobe (Every 6-12 Months)</t>
  </si>
  <si>
    <t>In this phase, brand awareness becomes the primary driver. The overall item count is slightly lower, but the budget shifts heavily away from basic essentials and into popular name brands for daily wear.</t>
  </si>
  <si>
    <t>During growth spurts, most teens need about 17 core items (10 tops &amp; 7 bottoms) per cycle, with a strong preference for popular brands.</t>
  </si>
  <si>
    <t>You could save $229 per cycle, per teen.</t>
  </si>
  <si>
    <t>Your Typical Adult Wardrobe (Annual Replenishment)</t>
  </si>
  <si>
    <t>Because adult sizing is permanent, the buying behavior shifts from replacing outgrown items to upgrading and replenishing an existing closet. The overall volume is lower, but the investment per piece is higher, with a strong emphasis on Premium Quality pieces for work or socializing.</t>
  </si>
  <si>
    <t>Adults generally maintain a permanent closet, buying around 10 core items (6 tops &amp; 4 bottoms) per year to refresh basics and upgrade their style.</t>
  </si>
  <si>
    <t>You could save $254 on your annual wardrobe refresh.</t>
  </si>
  <si>
    <t>Shipping Price</t>
  </si>
  <si>
    <t>Cad</t>
  </si>
  <si>
    <t>Growing Kids</t>
  </si>
  <si>
    <t>Teens</t>
  </si>
  <si>
    <t>Adults</t>
  </si>
  <si>
    <t>The Garment Mix Matrix (24 Items: 14 Tops, 10 Bottoms)</t>
  </si>
  <si>
    <t>Essential (60% | 8 Tops, 6 Bottoms): Thin cottons, daily basics. (e.g., onesies, basic t-shirts, thin leggings, sweat-shorts).</t>
  </si>
  <si>
    <t>Premium Quality (35% | 5 Tops, 3 Bottoms): Structured or thicker fabrics. (e.g., woven shirts, hoodies, denim jeans, thick joggers, light jackets).</t>
  </si>
  <si>
    <t>High-End (5% | 1 Top, 1 Bottom): Heaviest structured pieces. (e.g., heavy outerwear/winter coat, premium knitwear, lined trousers).</t>
  </si>
  <si>
    <t>effective UI approaches to handle multiple selections:</t>
  </si>
  <si>
    <t>Approach 1: The "Household Total" with Accordions (Recommended)</t>
  </si>
  <si>
    <t>This method leads with the most powerful number—the combined savings—and allows the user to explore the details at their own pace.</t>
  </si>
  <si>
    <t>The Hook: Start with a combined total. For example: "💡 You could save $574 on your household wardrobe." (Combining the $210 Baby savings and $364 Adult savings).</t>
  </si>
  <si>
    <t>Approach 2: Tabbed Navigation</t>
  </si>
  <si>
    <t>If you want to keep the primary focus on the individual buying cycles rather than a massive combined number, tabs work perfectly.</t>
  </si>
  <si>
    <t>The Structure: Place a toggle or tab bar at the top of the comparison box.</t>
  </si>
  <si>
    <t>[ Babies &amp; Toddlers ] | [ Adults ]</t>
  </si>
  <si>
    <t>The Interaction: The user taps a tab, and the content below switches to display the relevant 100% receipt for that category. This keeps the screen footprint small and focused.</t>
  </si>
  <si>
    <t>Approach 3: The Swipeable Carousel (Mobile-Optimized)</t>
  </si>
  <si>
    <t>If a large portion of your traffic will be on mobile devices, a card carousel is highly intuitive.</t>
  </si>
  <si>
    <t>The Structure: Each age group gets its own distinct "Comparison Card" containing the pie chart and the Canada vs. India receipt.</t>
  </si>
  <si>
    <t>The Interaction: The user simply swipes left or right to flip through their selected categories. You can include pagination dots at the bottom (• ◦ ◦) to indicate there are more profiles to view.</t>
  </si>
  <si>
    <t>Attribute</t>
  </si>
  <si>
    <t>Subcategory</t>
  </si>
  <si>
    <t>Avg. Length (cm)</t>
  </si>
  <si>
    <t>Avg. Width (cm)</t>
  </si>
  <si>
    <t>Avg. Height (cm)</t>
  </si>
  <si>
    <t>Unit Volume (cm³)</t>
  </si>
  <si>
    <t>Actual Unit Weight (kg)</t>
  </si>
  <si>
    <t>Volumetric Divisor</t>
  </si>
  <si>
    <t>Volumetric Wt (kg)</t>
  </si>
  <si>
    <t>Billed Unit Wt (kg)</t>
  </si>
  <si>
    <t>Packaging Buffer (%)</t>
  </si>
  <si>
    <t>Clothing</t>
  </si>
  <si>
    <t>T-Shirts</t>
  </si>
  <si>
    <t>Light Topwear</t>
  </si>
  <si>
    <t>Casual Shirts</t>
  </si>
  <si>
    <t>Formal Shirts</t>
  </si>
  <si>
    <t>Blouses</t>
  </si>
  <si>
    <t>Tops</t>
  </si>
  <si>
    <t>Kurtis/Tunics</t>
  </si>
  <si>
    <t>Tank Tops</t>
  </si>
  <si>
    <t>Jeans/Denim</t>
  </si>
  <si>
    <t>Heavy Bottoms</t>
  </si>
  <si>
    <t>Formal Trousers</t>
  </si>
  <si>
    <t>Casual Pants/Chinos</t>
  </si>
  <si>
    <t>Shorts</t>
  </si>
  <si>
    <t>Light Bottoms</t>
  </si>
  <si>
    <t>Skirts</t>
  </si>
  <si>
    <t>Leggings</t>
  </si>
  <si>
    <t>Sweatpants/Joggers</t>
  </si>
  <si>
    <t>Sweaters</t>
  </si>
  <si>
    <t>Heavy Outerwear</t>
  </si>
  <si>
    <t>Cardigans</t>
  </si>
  <si>
    <t>Hoodies/Sweatshirts</t>
  </si>
  <si>
    <t>Light Jackets</t>
  </si>
  <si>
    <t>Heavy Winter Coats</t>
  </si>
  <si>
    <t>Heavy Winter Sets</t>
  </si>
  <si>
    <t>Blazers/Suit Jackets</t>
  </si>
  <si>
    <t>Heavy Ethnic &amp; Party</t>
  </si>
  <si>
    <t>Raincoats</t>
  </si>
  <si>
    <t>Casual Dresses</t>
  </si>
  <si>
    <t>Light Dresses &amp; Sets</t>
  </si>
  <si>
    <t>Formal Gowns</t>
  </si>
  <si>
    <t>Jumpsuits/Rompers</t>
  </si>
  <si>
    <t>Sarees (Lightweight)</t>
  </si>
  <si>
    <t>Sarees (Heavy/Bridal)</t>
  </si>
  <si>
    <t>Salwar Suits</t>
  </si>
  <si>
    <t>Lehengas (Heavy volume)</t>
  </si>
  <si>
    <t>Sherwanis</t>
  </si>
  <si>
    <t>Dhotis</t>
  </si>
  <si>
    <t>Undergarments/Lingerie</t>
  </si>
  <si>
    <t>Thermals</t>
  </si>
  <si>
    <t>Sleepwear/Pajamas</t>
  </si>
  <si>
    <t>Bathrobes</t>
  </si>
  <si>
    <t>Gym T-Shirts</t>
  </si>
  <si>
    <t>Sports Bras</t>
  </si>
  <si>
    <t>Yoga Pants</t>
  </si>
  <si>
    <t>Swimsuits</t>
  </si>
  <si>
    <t>Tracksuits</t>
  </si>
  <si>
    <t>Socks</t>
  </si>
  <si>
    <t>Scarves/Mufflers</t>
  </si>
  <si>
    <t>Ties</t>
  </si>
  <si>
    <t>Belts</t>
  </si>
  <si>
    <t>Caps/Hats</t>
  </si>
  <si>
    <t>Gloves</t>
  </si>
  <si>
    <t>Shawls/Wraps</t>
  </si>
  <si>
    <t>Ornament</t>
  </si>
  <si>
    <t>Necklaces</t>
  </si>
  <si>
    <t>Pendants</t>
  </si>
  <si>
    <t>Chains</t>
  </si>
  <si>
    <t>Mangalsutras</t>
  </si>
  <si>
    <t>Brooches</t>
  </si>
  <si>
    <t>Tie Pins</t>
  </si>
  <si>
    <t>Earrings (Studs)</t>
  </si>
  <si>
    <t>Earrings (Heavy/Danglers)</t>
  </si>
  <si>
    <t>Nose Rings/Pins</t>
  </si>
  <si>
    <t>Rings</t>
  </si>
  <si>
    <t>Bracelets</t>
  </si>
  <si>
    <t>Bangles (Single/Set)</t>
  </si>
  <si>
    <t>Cufflinks</t>
  </si>
  <si>
    <t>Watches (Pocket/Wrist)</t>
  </si>
  <si>
    <t>Anklets (Payal)</t>
  </si>
  <si>
    <t>Toe Rings</t>
  </si>
  <si>
    <t>Tiaras</t>
  </si>
  <si>
    <t>Hairpins</t>
  </si>
  <si>
    <t>Maang Tikkas</t>
  </si>
  <si>
    <t>Crowns</t>
  </si>
  <si>
    <t>Small Metal/Stone Idols</t>
  </si>
  <si>
    <t>Coins/Medals</t>
  </si>
  <si>
    <t>Precious Loose Stones/Crystals</t>
  </si>
  <si>
    <t>Documents</t>
  </si>
  <si>
    <t>Standard Letters</t>
  </si>
  <si>
    <t>Greeting Cards</t>
  </si>
  <si>
    <t>Postcards</t>
  </si>
  <si>
    <t>Single-page Certificates</t>
  </si>
  <si>
    <t>Passports</t>
  </si>
  <si>
    <t>Visas</t>
  </si>
  <si>
    <t>Driving Licenses</t>
  </si>
  <si>
    <t>Smart Cards/ID Cards</t>
  </si>
  <si>
    <t>Bank Cards (Debit/Credit)</t>
  </si>
  <si>
    <t>Legal Deeds/Contracts</t>
  </si>
  <si>
    <t>Bound Reports</t>
  </si>
  <si>
    <t>Blueprints/Architectural Plans</t>
  </si>
  <si>
    <t>Financial Ledgers</t>
  </si>
  <si>
    <t>Books (Paperback)</t>
  </si>
  <si>
    <t>Books (Hardcover)</t>
  </si>
  <si>
    <t>Magazines</t>
  </si>
  <si>
    <t>Catalogs</t>
  </si>
  <si>
    <t>Brochures/Pamphlets</t>
  </si>
  <si>
    <t>Diplomas</t>
  </si>
  <si>
    <t>Diaries</t>
  </si>
  <si>
    <t>Journals</t>
  </si>
  <si>
    <t>Calendars (Desk)</t>
  </si>
  <si>
    <t>Calendars (Wall)</t>
  </si>
  <si>
    <t>Ring Binders</t>
  </si>
  <si>
    <t>Notebooks</t>
  </si>
  <si>
    <t>Home decor</t>
  </si>
  <si>
    <t>Canvas Paintings</t>
  </si>
  <si>
    <t>Framed Photographs</t>
  </si>
  <si>
    <t>Posters (Rolled)</t>
  </si>
  <si>
    <t>Wall Clocks</t>
  </si>
  <si>
    <t>Mirrors (Small/Large)</t>
  </si>
  <si>
    <t>Tapestries/Wall Hangings</t>
  </si>
  <si>
    <t>Nameplates</t>
  </si>
  <si>
    <t>Table Lamps</t>
  </si>
  <si>
    <t>Floor Lamps</t>
  </si>
  <si>
    <t>Chandeliers</t>
  </si>
  <si>
    <t>Pendant Lights</t>
  </si>
  <si>
    <t>Wall Sconces</t>
  </si>
  <si>
    <t>Fairy/String Lights</t>
  </si>
  <si>
    <t>Candle Holders/Lanterns</t>
  </si>
  <si>
    <t>Cushions</t>
  </si>
  <si>
    <t>Cushion Covers (flat)</t>
  </si>
  <si>
    <t>Rugs/Carpets (Rolled)</t>
  </si>
  <si>
    <t>Curtains/Drapes</t>
  </si>
  <si>
    <t>Throw Blankets</t>
  </si>
  <si>
    <t>Table Linens/Runners</t>
  </si>
  <si>
    <t>Bedspreads</t>
  </si>
  <si>
    <t>Vases</t>
  </si>
  <si>
    <t>Sculptures/Statues</t>
  </si>
  <si>
    <t>Bowls/Trays</t>
  </si>
  <si>
    <t>Bookends</t>
  </si>
  <si>
    <t>Faux Plants/Artificial Flowers</t>
  </si>
  <si>
    <t>Indoor Planters/Pots</t>
  </si>
  <si>
    <t>Globes</t>
  </si>
  <si>
    <t>Key Holders</t>
  </si>
  <si>
    <t>Small Floating Shelves</t>
  </si>
  <si>
    <t>Stools/Poufs</t>
  </si>
  <si>
    <t>Side Tables</t>
  </si>
  <si>
    <t>Umbrella Stands</t>
  </si>
  <si>
    <t>Magazine Racks</t>
  </si>
  <si>
    <t>Desk Organizers</t>
  </si>
  <si>
    <t>Scented Candles</t>
  </si>
  <si>
    <t>Pillar Candles</t>
  </si>
  <si>
    <t>Essential Oil Diffusers</t>
  </si>
  <si>
    <t>Incense Holders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</si>
</sst>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9">
    <font>
      <sz val="10.0"/>
      <color rgb="FF000000"/>
      <name val="Arial"/>
      <scheme val="minor"/>
    </font>
    <font>
      <b/>
      <color theme="1"/>
      <name val="Arial"/>
      <scheme val="minor"/>
    </font>
    <font>
      <color theme="1"/>
      <name val="Arial"/>
      <scheme val="minor"/>
    </font>
    <font/>
    <font>
      <i/>
      <color theme="1"/>
      <name val="Arial"/>
      <scheme val="minor"/>
    </font>
    <font>
      <b/>
      <i/>
      <color theme="1"/>
      <name val="Arial"/>
      <scheme val="minor"/>
    </font>
    <font>
      <sz val="10.0"/>
      <color theme="1"/>
      <name val="Arial"/>
      <scheme val="minor"/>
    </font>
    <font>
      <sz val="9.0"/>
      <color theme="1"/>
      <name val="Arial"/>
      <scheme val="minor"/>
    </font>
    <font>
      <color rgb="FF000000"/>
      <name val="Arial"/>
    </font>
  </fonts>
  <fills count="7">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4CCCC"/>
        <bgColor rgb="FFF4CCCC"/>
      </patternFill>
    </fill>
    <fill>
      <patternFill patternType="solid">
        <fgColor rgb="FFFF9900"/>
        <bgColor rgb="FFFF9900"/>
      </patternFill>
    </fill>
    <fill>
      <patternFill patternType="solid">
        <fgColor rgb="FFFF0000"/>
        <bgColor rgb="FFFF00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3"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shrinkToFit="0" wrapText="1"/>
    </xf>
    <xf borderId="2" fillId="0" fontId="1" numFmtId="0" xfId="0" applyAlignment="1" applyBorder="1" applyFont="1">
      <alignment horizontal="center" readingOrder="0"/>
    </xf>
    <xf borderId="3" fillId="0" fontId="3" numFmtId="0" xfId="0" applyBorder="1" applyFont="1"/>
    <xf borderId="4" fillId="0" fontId="3" numFmtId="0" xfId="0" applyBorder="1" applyFont="1"/>
    <xf borderId="0" fillId="0" fontId="1" numFmtId="0" xfId="0" applyAlignment="1" applyFont="1">
      <alignment shrinkToFit="0" wrapText="1"/>
    </xf>
    <xf borderId="1" fillId="0" fontId="1" numFmtId="0" xfId="0" applyAlignment="1" applyBorder="1" applyFont="1">
      <alignment readingOrder="0" shrinkToFit="0" wrapText="1"/>
    </xf>
    <xf borderId="0" fillId="0" fontId="1" numFmtId="0" xfId="0" applyAlignment="1" applyFont="1">
      <alignment readingOrder="0" shrinkToFit="0" wrapText="1"/>
    </xf>
    <xf borderId="1" fillId="0" fontId="1" numFmtId="0" xfId="0" applyAlignment="1" applyBorder="1" applyFont="1">
      <alignment readingOrder="0"/>
    </xf>
    <xf borderId="1" fillId="0" fontId="2" numFmtId="9" xfId="0" applyAlignment="1" applyBorder="1" applyFont="1" applyNumberFormat="1">
      <alignment readingOrder="0"/>
    </xf>
    <xf borderId="1" fillId="0" fontId="2" numFmtId="164" xfId="0" applyAlignment="1" applyBorder="1" applyFont="1" applyNumberFormat="1">
      <alignment readingOrder="0"/>
    </xf>
    <xf borderId="1" fillId="0" fontId="2" numFmtId="4" xfId="0" applyAlignment="1" applyBorder="1" applyFont="1" applyNumberFormat="1">
      <alignment readingOrder="0"/>
    </xf>
    <xf borderId="1" fillId="0" fontId="2" numFmtId="0" xfId="0" applyBorder="1" applyFont="1"/>
    <xf borderId="1" fillId="0" fontId="2" numFmtId="49" xfId="0" applyAlignment="1" applyBorder="1" applyFont="1" applyNumberFormat="1">
      <alignment readingOrder="0"/>
    </xf>
    <xf borderId="1" fillId="0" fontId="4" numFmtId="0" xfId="0" applyAlignment="1" applyBorder="1" applyFont="1">
      <alignment readingOrder="0"/>
    </xf>
    <xf borderId="1" fillId="0" fontId="5" numFmtId="0" xfId="0" applyAlignment="1" applyBorder="1" applyFont="1">
      <alignment readingOrder="0"/>
    </xf>
    <xf borderId="0" fillId="0" fontId="1" numFmtId="0" xfId="0" applyFont="1"/>
    <xf borderId="1" fillId="0" fontId="1" numFmtId="0" xfId="0" applyBorder="1" applyFont="1"/>
    <xf borderId="1" fillId="0" fontId="1" numFmtId="9" xfId="0" applyAlignment="1" applyBorder="1" applyFont="1" applyNumberFormat="1">
      <alignment readingOrder="0"/>
    </xf>
    <xf borderId="1" fillId="0" fontId="1" numFmtId="164" xfId="0" applyBorder="1" applyFont="1" applyNumberFormat="1"/>
    <xf borderId="1" fillId="0" fontId="1" numFmtId="4" xfId="0" applyBorder="1" applyFont="1" applyNumberFormat="1"/>
    <xf borderId="5" fillId="0" fontId="2" numFmtId="0" xfId="0" applyAlignment="1" applyBorder="1" applyFont="1">
      <alignment horizontal="left" readingOrder="0" shrinkToFit="0" wrapText="1"/>
    </xf>
    <xf borderId="6" fillId="0" fontId="3" numFmtId="0" xfId="0" applyBorder="1" applyFont="1"/>
    <xf borderId="1" fillId="0" fontId="2" numFmtId="0" xfId="0" applyAlignment="1" applyBorder="1" applyFont="1">
      <alignment shrinkToFit="0" wrapText="1"/>
    </xf>
    <xf borderId="7" fillId="0" fontId="3" numFmtId="0" xfId="0" applyBorder="1" applyFont="1"/>
    <xf borderId="0" fillId="0" fontId="2" numFmtId="1" xfId="0" applyFont="1" applyNumberFormat="1"/>
    <xf borderId="0" fillId="4" fontId="2" numFmtId="0" xfId="0" applyAlignment="1" applyFill="1" applyFont="1">
      <alignment readingOrder="0"/>
    </xf>
    <xf borderId="0" fillId="0" fontId="6" numFmtId="0" xfId="0" applyAlignment="1" applyFont="1">
      <alignment readingOrder="0"/>
    </xf>
    <xf borderId="0" fillId="0" fontId="7" numFmtId="0" xfId="0" applyAlignment="1" applyFont="1">
      <alignment readingOrder="0"/>
    </xf>
    <xf borderId="0" fillId="0" fontId="7" numFmtId="0" xfId="0" applyFont="1"/>
    <xf borderId="0" fillId="0" fontId="8" numFmtId="0" xfId="0" applyAlignment="1" applyFont="1">
      <alignment readingOrder="0" shrinkToFit="0" vertical="bottom" wrapText="0"/>
    </xf>
    <xf borderId="0" fillId="0" fontId="8" numFmtId="0" xfId="0" applyAlignment="1" applyFont="1">
      <alignment horizontal="right" readingOrder="0" shrinkToFit="0" vertical="bottom" wrapText="0"/>
    </xf>
    <xf borderId="0" fillId="0" fontId="8" numFmtId="9" xfId="0" applyAlignment="1" applyFont="1" applyNumberFormat="1">
      <alignment horizontal="right" readingOrder="0" shrinkToFit="0" vertical="bottom" wrapText="0"/>
    </xf>
    <xf borderId="0" fillId="5" fontId="8" numFmtId="0" xfId="0" applyAlignment="1" applyFill="1" applyFont="1">
      <alignment horizontal="right" readingOrder="0" shrinkToFit="0" vertical="bottom" wrapText="0"/>
    </xf>
    <xf borderId="0" fillId="6" fontId="8"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kita Agarwal" id="{aaf37cd9-a206-400b-b446-508b1ce4f64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7" dT="2026-05-04T19:28:02.00" personId="{aaf37cd9-a206-400b-b446-508b1ce4f644}" id="{917d2c17-0160-4cc0-8465-b06549abb515}" done="0">
    <x18tc:text xml:space="preserve">Add conversion to LB. show different way of assuming weight too. Show per cycle wardrobe qty. Put estimated weight and also show half qty price. train customers on how to estimate shipping charges without checking our price calculator to help me stay in their budget without it getting hectic</x18tc:text>
  </x18tc:threadedComment>
  <x18tc:threadedComment ref="J8" dT="2026-05-04T17:49:59.00" personId="{aaf37cd9-a206-400b-b446-508b1ce4f644}" id="{476aa054-8dbb-4515-ad5e-f2b7c2594405}" done="0">
    <x18tc:text xml:space="preserve">keeping the Canadian estimates conservative (assuming the customer shops sales), the final price difference feels authentic and undeniable.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24.5"/>
    <col customWidth="1" min="4" max="4" width="50.38"/>
    <col customWidth="1" min="5" max="5" width="15.88"/>
    <col customWidth="1" min="6" max="6" width="14.75"/>
    <col customWidth="1" min="7" max="7" width="15.5"/>
    <col customWidth="1" min="8" max="8" width="26.63"/>
    <col customWidth="1" min="9" max="9" width="11.75"/>
    <col customWidth="1" min="10" max="10" width="12.63"/>
    <col customWidth="1" min="11" max="11" width="7.38"/>
    <col customWidth="1" min="12" max="12" width="9.13"/>
    <col customWidth="1" min="13" max="13" width="9.5"/>
    <col customWidth="1" min="14" max="14" width="10.0"/>
    <col customWidth="1" min="15" max="15" width="7.88"/>
    <col customWidth="1" min="16" max="16" width="6.5"/>
    <col customWidth="1" min="17" max="17" width="6.38"/>
    <col customWidth="1" min="19" max="19" width="4.88"/>
    <col customWidth="1" min="20" max="20" width="9.13"/>
  </cols>
  <sheetData>
    <row r="1">
      <c r="B1" s="1" t="s">
        <v>0</v>
      </c>
      <c r="C1" s="1" t="s">
        <v>1</v>
      </c>
      <c r="D1" s="1" t="s">
        <v>2</v>
      </c>
    </row>
    <row r="2">
      <c r="B2" s="2" t="s">
        <v>3</v>
      </c>
      <c r="C2" s="3" t="s">
        <v>4</v>
      </c>
      <c r="D2" s="2" t="s">
        <v>5</v>
      </c>
      <c r="G2" s="4" t="s">
        <v>6</v>
      </c>
    </row>
    <row r="3">
      <c r="B3" s="2" t="s">
        <v>7</v>
      </c>
      <c r="C3" s="3" t="s">
        <v>8</v>
      </c>
      <c r="D3" s="2" t="s">
        <v>9</v>
      </c>
      <c r="G3" s="5" t="s">
        <v>10</v>
      </c>
    </row>
    <row r="4">
      <c r="B4" s="2" t="s">
        <v>11</v>
      </c>
      <c r="C4" s="3" t="s">
        <v>12</v>
      </c>
      <c r="D4" s="2" t="s">
        <v>13</v>
      </c>
    </row>
    <row r="5">
      <c r="B5" s="6"/>
    </row>
    <row r="6">
      <c r="B6" s="6"/>
    </row>
    <row r="7">
      <c r="A7" s="6" t="s">
        <v>14</v>
      </c>
      <c r="B7" s="7"/>
      <c r="J7" s="5" t="s">
        <v>15</v>
      </c>
      <c r="O7" s="8" t="s">
        <v>16</v>
      </c>
      <c r="P7" s="9"/>
      <c r="Q7" s="10"/>
    </row>
    <row r="8" ht="26.25" customHeight="1">
      <c r="A8" s="11"/>
      <c r="B8" s="12" t="s">
        <v>17</v>
      </c>
      <c r="C8" s="12" t="s">
        <v>18</v>
      </c>
      <c r="D8" s="12" t="s">
        <v>19</v>
      </c>
      <c r="E8" s="12" t="s">
        <v>0</v>
      </c>
      <c r="F8" s="12" t="s">
        <v>20</v>
      </c>
      <c r="G8" s="12" t="s">
        <v>1</v>
      </c>
      <c r="H8" s="12" t="s">
        <v>21</v>
      </c>
      <c r="I8" s="12" t="s">
        <v>22</v>
      </c>
      <c r="J8" s="12" t="s">
        <v>23</v>
      </c>
      <c r="K8" s="12" t="s">
        <v>24</v>
      </c>
      <c r="L8" s="12" t="s">
        <v>25</v>
      </c>
      <c r="M8" s="12" t="s">
        <v>26</v>
      </c>
      <c r="N8" s="12" t="s">
        <v>27</v>
      </c>
      <c r="O8" s="13" t="s">
        <v>28</v>
      </c>
      <c r="P8" s="13" t="s">
        <v>29</v>
      </c>
      <c r="Q8" s="13" t="s">
        <v>30</v>
      </c>
      <c r="R8" s="12" t="s">
        <v>31</v>
      </c>
      <c r="S8" s="12" t="s">
        <v>32</v>
      </c>
      <c r="T8" s="12" t="s">
        <v>33</v>
      </c>
      <c r="U8" s="7"/>
      <c r="V8" s="7"/>
      <c r="W8" s="7"/>
      <c r="X8" s="11"/>
      <c r="Y8" s="11"/>
      <c r="Z8" s="11"/>
      <c r="AA8" s="11"/>
      <c r="AB8" s="11"/>
      <c r="AC8" s="11"/>
      <c r="AD8" s="11"/>
      <c r="AE8" s="11"/>
      <c r="AF8" s="11"/>
      <c r="AG8" s="11"/>
      <c r="AH8" s="11"/>
      <c r="AI8" s="11"/>
    </row>
    <row r="9">
      <c r="B9" s="14" t="s">
        <v>34</v>
      </c>
      <c r="C9" s="2" t="s">
        <v>35</v>
      </c>
      <c r="D9" s="2" t="s">
        <v>36</v>
      </c>
      <c r="E9" s="2" t="s">
        <v>3</v>
      </c>
      <c r="F9" s="15">
        <v>0.6</v>
      </c>
      <c r="G9" s="2" t="s">
        <v>4</v>
      </c>
      <c r="H9" s="2" t="s">
        <v>37</v>
      </c>
      <c r="I9" s="2">
        <v>14.0</v>
      </c>
      <c r="J9" s="16">
        <v>8.0</v>
      </c>
      <c r="K9" s="16">
        <f t="shared" ref="K9:K11" si="1">J9*I9</f>
        <v>112</v>
      </c>
      <c r="L9" s="17">
        <f t="shared" ref="L9:L11" si="2">M9*67</f>
        <v>201</v>
      </c>
      <c r="M9" s="16">
        <v>3.0</v>
      </c>
      <c r="N9" s="16">
        <v>42.0</v>
      </c>
      <c r="O9" s="18"/>
      <c r="P9" s="16"/>
      <c r="Q9" s="16"/>
      <c r="R9" s="19"/>
      <c r="S9" s="2"/>
      <c r="T9" s="2"/>
    </row>
    <row r="10">
      <c r="B10" s="20" t="s">
        <v>38</v>
      </c>
      <c r="C10" s="18"/>
      <c r="D10" s="2"/>
      <c r="E10" s="2" t="s">
        <v>7</v>
      </c>
      <c r="F10" s="15">
        <v>0.35</v>
      </c>
      <c r="G10" s="2" t="s">
        <v>39</v>
      </c>
      <c r="H10" s="2" t="s">
        <v>40</v>
      </c>
      <c r="I10" s="2">
        <v>8.0</v>
      </c>
      <c r="J10" s="16">
        <v>18.0</v>
      </c>
      <c r="K10" s="16">
        <f t="shared" si="1"/>
        <v>144</v>
      </c>
      <c r="L10" s="17">
        <f t="shared" si="2"/>
        <v>536</v>
      </c>
      <c r="M10" s="16">
        <v>8.0</v>
      </c>
      <c r="N10" s="16">
        <v>64.0</v>
      </c>
      <c r="O10" s="18"/>
      <c r="P10" s="16"/>
      <c r="Q10" s="16"/>
      <c r="R10" s="19"/>
      <c r="S10" s="2"/>
      <c r="T10" s="2"/>
    </row>
    <row r="11">
      <c r="B11" s="21"/>
      <c r="C11" s="2"/>
      <c r="D11" s="2"/>
      <c r="E11" s="2" t="s">
        <v>11</v>
      </c>
      <c r="F11" s="15">
        <v>0.05</v>
      </c>
      <c r="G11" s="2" t="s">
        <v>41</v>
      </c>
      <c r="H11" s="2" t="s">
        <v>42</v>
      </c>
      <c r="I11" s="2">
        <v>2.0</v>
      </c>
      <c r="J11" s="16">
        <v>45.0</v>
      </c>
      <c r="K11" s="16">
        <f t="shared" si="1"/>
        <v>90</v>
      </c>
      <c r="L11" s="17">
        <f t="shared" si="2"/>
        <v>1005</v>
      </c>
      <c r="M11" s="16">
        <v>15.0</v>
      </c>
      <c r="N11" s="16">
        <v>30.0</v>
      </c>
      <c r="O11" s="18"/>
      <c r="P11" s="16"/>
      <c r="Q11" s="16"/>
      <c r="R11" s="19"/>
      <c r="S11" s="18"/>
      <c r="T11" s="18"/>
    </row>
    <row r="12">
      <c r="A12" s="22"/>
      <c r="B12" s="21" t="s">
        <v>32</v>
      </c>
      <c r="C12" s="14"/>
      <c r="D12" s="23"/>
      <c r="E12" s="14"/>
      <c r="F12" s="24"/>
      <c r="G12" s="23"/>
      <c r="H12" s="14"/>
      <c r="I12" s="23">
        <f>SUM(I9:I11)</f>
        <v>24</v>
      </c>
      <c r="J12" s="23"/>
      <c r="K12" s="25">
        <f>SUM(K9:K11)</f>
        <v>346</v>
      </c>
      <c r="L12" s="26"/>
      <c r="M12" s="23"/>
      <c r="N12" s="25">
        <f>SUM(N9:N11)</f>
        <v>136</v>
      </c>
      <c r="O12" s="14">
        <v>2.5</v>
      </c>
      <c r="P12" s="23">
        <f>'Shipping Rate'!H2</f>
        <v>4.5</v>
      </c>
      <c r="Q12" s="23">
        <f>'Shipping Rate'!I2</f>
        <v>3.5</v>
      </c>
      <c r="R12" s="25" t="s">
        <v>43</v>
      </c>
      <c r="S12" s="25">
        <f>R12+N12</f>
        <v>230</v>
      </c>
      <c r="T12" s="25">
        <f>K12-S12</f>
        <v>116</v>
      </c>
      <c r="X12" s="22"/>
      <c r="Y12" s="22"/>
      <c r="Z12" s="22"/>
      <c r="AA12" s="22"/>
      <c r="AB12" s="22"/>
      <c r="AC12" s="22"/>
      <c r="AD12" s="22"/>
      <c r="AE12" s="22"/>
      <c r="AF12" s="22"/>
      <c r="AG12" s="22"/>
      <c r="AH12" s="22"/>
      <c r="AI12" s="22"/>
    </row>
    <row r="13">
      <c r="B13" s="21" t="s">
        <v>44</v>
      </c>
      <c r="C13" s="2" t="s">
        <v>45</v>
      </c>
      <c r="D13" s="2" t="s">
        <v>46</v>
      </c>
      <c r="E13" s="2" t="s">
        <v>3</v>
      </c>
      <c r="F13" s="15">
        <v>0.5</v>
      </c>
      <c r="G13" s="2" t="s">
        <v>47</v>
      </c>
      <c r="H13" s="2" t="s">
        <v>48</v>
      </c>
      <c r="I13" s="2">
        <v>10.0</v>
      </c>
      <c r="J13" s="16">
        <v>10.0</v>
      </c>
      <c r="K13" s="16">
        <f t="shared" ref="K13:K15" si="3">J13*I13</f>
        <v>100</v>
      </c>
      <c r="L13" s="17">
        <f t="shared" ref="L13:L15" si="4">M13*67</f>
        <v>335</v>
      </c>
      <c r="M13" s="16">
        <v>5.0</v>
      </c>
      <c r="N13" s="16">
        <f t="shared" ref="N13:N15" si="5">M13*I13</f>
        <v>50</v>
      </c>
      <c r="O13" s="18"/>
      <c r="P13" s="16"/>
      <c r="Q13" s="16"/>
      <c r="R13" s="25"/>
      <c r="S13" s="23"/>
      <c r="T13" s="23"/>
    </row>
    <row r="14">
      <c r="B14" s="20" t="s">
        <v>49</v>
      </c>
      <c r="C14" s="18"/>
      <c r="D14" s="2"/>
      <c r="E14" s="2" t="s">
        <v>7</v>
      </c>
      <c r="F14" s="15">
        <v>0.4</v>
      </c>
      <c r="G14" s="2" t="s">
        <v>50</v>
      </c>
      <c r="H14" s="2" t="s">
        <v>40</v>
      </c>
      <c r="I14" s="2">
        <v>8.0</v>
      </c>
      <c r="J14" s="16">
        <v>22.0</v>
      </c>
      <c r="K14" s="16">
        <f t="shared" si="3"/>
        <v>176</v>
      </c>
      <c r="L14" s="17">
        <f t="shared" si="4"/>
        <v>670</v>
      </c>
      <c r="M14" s="16">
        <v>10.0</v>
      </c>
      <c r="N14" s="16">
        <f t="shared" si="5"/>
        <v>80</v>
      </c>
      <c r="O14" s="18"/>
      <c r="P14" s="16"/>
      <c r="Q14" s="16"/>
      <c r="R14" s="25"/>
      <c r="S14" s="23"/>
      <c r="T14" s="23"/>
    </row>
    <row r="15">
      <c r="B15" s="21"/>
      <c r="C15" s="2"/>
      <c r="D15" s="2"/>
      <c r="E15" s="2" t="s">
        <v>11</v>
      </c>
      <c r="F15" s="15">
        <v>0.1</v>
      </c>
      <c r="G15" s="2" t="s">
        <v>51</v>
      </c>
      <c r="H15" s="2" t="s">
        <v>52</v>
      </c>
      <c r="I15" s="2">
        <v>2.0</v>
      </c>
      <c r="J15" s="16">
        <v>55.0</v>
      </c>
      <c r="K15" s="16">
        <f t="shared" si="3"/>
        <v>110</v>
      </c>
      <c r="L15" s="17">
        <f t="shared" si="4"/>
        <v>1206</v>
      </c>
      <c r="M15" s="16">
        <v>18.0</v>
      </c>
      <c r="N15" s="16">
        <f t="shared" si="5"/>
        <v>36</v>
      </c>
      <c r="O15" s="18"/>
      <c r="P15" s="16"/>
      <c r="Q15" s="16"/>
      <c r="R15" s="25"/>
      <c r="S15" s="23"/>
      <c r="T15" s="23"/>
    </row>
    <row r="16">
      <c r="A16" s="22"/>
      <c r="B16" s="21" t="s">
        <v>32</v>
      </c>
      <c r="C16" s="14"/>
      <c r="D16" s="14"/>
      <c r="E16" s="14"/>
      <c r="F16" s="24"/>
      <c r="G16" s="23"/>
      <c r="H16" s="23"/>
      <c r="I16" s="23">
        <f>SUM(I13:I15)</f>
        <v>20</v>
      </c>
      <c r="J16" s="23"/>
      <c r="K16" s="25">
        <f>SUM(K13:K15)</f>
        <v>386</v>
      </c>
      <c r="L16" s="23"/>
      <c r="M16" s="23"/>
      <c r="N16" s="25">
        <f>SUM(N13:N15)</f>
        <v>166</v>
      </c>
      <c r="O16" s="14">
        <v>3.0</v>
      </c>
      <c r="P16" s="14">
        <v>6.0</v>
      </c>
      <c r="Q16" s="14">
        <v>4.5</v>
      </c>
      <c r="R16" s="25" t="s">
        <v>53</v>
      </c>
      <c r="S16" s="25">
        <f>R16+N16</f>
        <v>276</v>
      </c>
      <c r="T16" s="25">
        <f>K16-S16</f>
        <v>110</v>
      </c>
      <c r="X16" s="22"/>
      <c r="Y16" s="22"/>
      <c r="Z16" s="22"/>
      <c r="AA16" s="22"/>
      <c r="AB16" s="22"/>
      <c r="AC16" s="22"/>
      <c r="AD16" s="22"/>
      <c r="AE16" s="22"/>
      <c r="AF16" s="22"/>
      <c r="AG16" s="22"/>
      <c r="AH16" s="22"/>
      <c r="AI16" s="22"/>
    </row>
    <row r="17">
      <c r="B17" s="21" t="s">
        <v>54</v>
      </c>
      <c r="C17" s="2" t="s">
        <v>55</v>
      </c>
      <c r="D17" s="2" t="s">
        <v>56</v>
      </c>
      <c r="E17" s="2" t="s">
        <v>3</v>
      </c>
      <c r="F17" s="15">
        <v>0.3</v>
      </c>
      <c r="G17" s="2" t="s">
        <v>57</v>
      </c>
      <c r="H17" s="2" t="s">
        <v>58</v>
      </c>
      <c r="I17" s="2">
        <v>5.0</v>
      </c>
      <c r="J17" s="16">
        <v>15.0</v>
      </c>
      <c r="K17" s="16">
        <f t="shared" ref="K17:K19" si="6">J17*I17</f>
        <v>75</v>
      </c>
      <c r="L17" s="17">
        <f t="shared" ref="L17:L19" si="7">M17*67</f>
        <v>402</v>
      </c>
      <c r="M17" s="16">
        <v>6.0</v>
      </c>
      <c r="N17" s="16">
        <f t="shared" ref="N17:N19" si="8">M17*I17</f>
        <v>30</v>
      </c>
      <c r="O17" s="18"/>
      <c r="P17" s="16"/>
      <c r="Q17" s="16"/>
      <c r="R17" s="25"/>
      <c r="S17" s="23"/>
      <c r="T17" s="23"/>
    </row>
    <row r="18">
      <c r="B18" s="20" t="s">
        <v>59</v>
      </c>
      <c r="C18" s="18"/>
      <c r="D18" s="2"/>
      <c r="E18" s="2" t="s">
        <v>7</v>
      </c>
      <c r="F18" s="15">
        <v>0.6</v>
      </c>
      <c r="G18" s="2" t="s">
        <v>60</v>
      </c>
      <c r="H18" s="2" t="s">
        <v>61</v>
      </c>
      <c r="I18" s="2">
        <v>10.0</v>
      </c>
      <c r="J18" s="16">
        <v>35.0</v>
      </c>
      <c r="K18" s="16">
        <f t="shared" si="6"/>
        <v>350</v>
      </c>
      <c r="L18" s="17">
        <f t="shared" si="7"/>
        <v>1005</v>
      </c>
      <c r="M18" s="16">
        <v>15.0</v>
      </c>
      <c r="N18" s="16">
        <f t="shared" si="8"/>
        <v>150</v>
      </c>
      <c r="O18" s="18"/>
      <c r="P18" s="16"/>
      <c r="Q18" s="16"/>
      <c r="R18" s="25"/>
      <c r="S18" s="23"/>
      <c r="T18" s="23"/>
    </row>
    <row r="19">
      <c r="B19" s="21"/>
      <c r="C19" s="2"/>
      <c r="D19" s="2"/>
      <c r="E19" s="2" t="s">
        <v>11</v>
      </c>
      <c r="F19" s="15">
        <v>0.1</v>
      </c>
      <c r="G19" s="2" t="s">
        <v>51</v>
      </c>
      <c r="H19" s="2" t="s">
        <v>62</v>
      </c>
      <c r="I19" s="2">
        <v>2.0</v>
      </c>
      <c r="J19" s="16">
        <v>80.0</v>
      </c>
      <c r="K19" s="16">
        <f t="shared" si="6"/>
        <v>160</v>
      </c>
      <c r="L19" s="17">
        <f t="shared" si="7"/>
        <v>1675</v>
      </c>
      <c r="M19" s="16">
        <v>25.0</v>
      </c>
      <c r="N19" s="16">
        <f t="shared" si="8"/>
        <v>50</v>
      </c>
      <c r="O19" s="18"/>
      <c r="P19" s="16"/>
      <c r="Q19" s="16"/>
      <c r="R19" s="25"/>
      <c r="S19" s="23"/>
      <c r="T19" s="23"/>
    </row>
    <row r="20">
      <c r="B20" s="21" t="s">
        <v>32</v>
      </c>
      <c r="C20" s="2"/>
      <c r="D20" s="2"/>
      <c r="E20" s="2"/>
      <c r="F20" s="15"/>
      <c r="G20" s="18"/>
      <c r="H20" s="18"/>
      <c r="I20" s="23">
        <f>SUM(I17:I19)</f>
        <v>17</v>
      </c>
      <c r="J20" s="18"/>
      <c r="K20" s="25">
        <f>SUM(K17:K19)</f>
        <v>585</v>
      </c>
      <c r="L20" s="18"/>
      <c r="M20" s="16"/>
      <c r="N20" s="25">
        <f>SUM(N17:N19)</f>
        <v>230</v>
      </c>
      <c r="O20" s="14">
        <f>'Shipping Rate'!G4</f>
        <v>4</v>
      </c>
      <c r="P20" s="14">
        <v>7.5</v>
      </c>
      <c r="Q20" s="14">
        <v>5.5</v>
      </c>
      <c r="R20" s="25" t="s">
        <v>63</v>
      </c>
      <c r="S20" s="25">
        <f>R20+N20</f>
        <v>356</v>
      </c>
      <c r="T20" s="25">
        <f>K20-S20</f>
        <v>229</v>
      </c>
    </row>
    <row r="21">
      <c r="B21" s="21" t="s">
        <v>64</v>
      </c>
      <c r="C21" s="2" t="s">
        <v>65</v>
      </c>
      <c r="D21" s="2" t="s">
        <v>66</v>
      </c>
      <c r="E21" s="2" t="s">
        <v>3</v>
      </c>
      <c r="F21" s="15">
        <v>0.2</v>
      </c>
      <c r="G21" s="2" t="s">
        <v>67</v>
      </c>
      <c r="H21" s="2" t="s">
        <v>68</v>
      </c>
      <c r="I21" s="2">
        <v>2.0</v>
      </c>
      <c r="J21" s="16">
        <v>20.0</v>
      </c>
      <c r="K21" s="16">
        <f t="shared" ref="K21:K23" si="9">J21*I21</f>
        <v>40</v>
      </c>
      <c r="L21" s="17">
        <f t="shared" ref="L21:L23" si="10">M21*67</f>
        <v>536</v>
      </c>
      <c r="M21" s="16">
        <v>8.0</v>
      </c>
      <c r="N21" s="16">
        <f t="shared" ref="N21:N23" si="11">M21*I21</f>
        <v>16</v>
      </c>
      <c r="O21" s="18"/>
      <c r="P21" s="16"/>
      <c r="Q21" s="16"/>
      <c r="R21" s="25"/>
      <c r="S21" s="23"/>
      <c r="T21" s="23"/>
    </row>
    <row r="22">
      <c r="B22" s="20" t="s">
        <v>69</v>
      </c>
      <c r="C22" s="18"/>
      <c r="D22" s="2"/>
      <c r="E22" s="2" t="s">
        <v>7</v>
      </c>
      <c r="F22" s="15">
        <v>0.6</v>
      </c>
      <c r="G22" s="2" t="s">
        <v>70</v>
      </c>
      <c r="H22" s="2" t="s">
        <v>71</v>
      </c>
      <c r="I22" s="2">
        <v>6.0</v>
      </c>
      <c r="J22" s="16">
        <v>50.0</v>
      </c>
      <c r="K22" s="16">
        <f t="shared" si="9"/>
        <v>300</v>
      </c>
      <c r="L22" s="17">
        <f t="shared" si="10"/>
        <v>1340</v>
      </c>
      <c r="M22" s="16">
        <v>20.0</v>
      </c>
      <c r="N22" s="16">
        <f t="shared" si="11"/>
        <v>120</v>
      </c>
      <c r="O22" s="18"/>
      <c r="P22" s="16"/>
      <c r="Q22" s="16"/>
      <c r="R22" s="25"/>
      <c r="S22" s="23"/>
      <c r="T22" s="23"/>
    </row>
    <row r="23">
      <c r="B23" s="18"/>
      <c r="C23" s="18"/>
      <c r="D23" s="2"/>
      <c r="E23" s="2" t="s">
        <v>11</v>
      </c>
      <c r="F23" s="15">
        <v>0.2</v>
      </c>
      <c r="G23" s="2" t="s">
        <v>72</v>
      </c>
      <c r="H23" s="2" t="s">
        <v>73</v>
      </c>
      <c r="I23" s="2">
        <v>2.0</v>
      </c>
      <c r="J23" s="16">
        <v>120.0</v>
      </c>
      <c r="K23" s="16">
        <f t="shared" si="9"/>
        <v>240</v>
      </c>
      <c r="L23" s="17">
        <f t="shared" si="10"/>
        <v>2680</v>
      </c>
      <c r="M23" s="16">
        <v>40.0</v>
      </c>
      <c r="N23" s="16">
        <f t="shared" si="11"/>
        <v>80</v>
      </c>
      <c r="O23" s="18"/>
      <c r="P23" s="16"/>
      <c r="Q23" s="16"/>
      <c r="R23" s="25"/>
      <c r="S23" s="23"/>
      <c r="T23" s="23"/>
    </row>
    <row r="24">
      <c r="B24" s="21" t="s">
        <v>32</v>
      </c>
      <c r="C24" s="18"/>
      <c r="D24" s="18"/>
      <c r="E24" s="18"/>
      <c r="F24" s="18"/>
      <c r="G24" s="18"/>
      <c r="H24" s="18"/>
      <c r="I24" s="18"/>
      <c r="J24" s="18"/>
      <c r="K24" s="25">
        <f>SUM(K21:K23)</f>
        <v>580</v>
      </c>
      <c r="L24" s="18"/>
      <c r="M24" s="16"/>
      <c r="N24" s="25">
        <f>SUM(N21:N23)</f>
        <v>216</v>
      </c>
      <c r="O24" s="14">
        <f>'Shipping Rate'!G5</f>
        <v>3</v>
      </c>
      <c r="P24" s="23">
        <f>'Shipping Rate'!H5</f>
        <v>6</v>
      </c>
      <c r="Q24" s="23">
        <f>'Shipping Rate'!I5</f>
        <v>4.5</v>
      </c>
      <c r="R24" s="25" t="s">
        <v>53</v>
      </c>
      <c r="S24" s="25">
        <f>R24+N24</f>
        <v>326</v>
      </c>
      <c r="T24" s="25">
        <f>K24-S24</f>
        <v>254</v>
      </c>
    </row>
    <row r="26" ht="32.25" customHeight="1">
      <c r="B26" s="14" t="s">
        <v>17</v>
      </c>
      <c r="C26" s="14" t="s">
        <v>18</v>
      </c>
      <c r="D26" s="14" t="s">
        <v>74</v>
      </c>
      <c r="E26" s="12" t="s">
        <v>75</v>
      </c>
      <c r="F26" s="14" t="s">
        <v>76</v>
      </c>
    </row>
    <row r="27">
      <c r="B27" s="14" t="s">
        <v>34</v>
      </c>
      <c r="C27" s="2" t="s">
        <v>35</v>
      </c>
      <c r="D27" s="3" t="s">
        <v>77</v>
      </c>
      <c r="E27" s="3"/>
      <c r="F27" s="27" t="s">
        <v>78</v>
      </c>
    </row>
    <row r="28">
      <c r="B28" s="20" t="s">
        <v>38</v>
      </c>
      <c r="C28" s="18"/>
      <c r="D28" s="3" t="s">
        <v>79</v>
      </c>
      <c r="E28" s="3"/>
      <c r="F28" s="28"/>
    </row>
    <row r="29">
      <c r="B29" s="21"/>
      <c r="C29" s="2"/>
      <c r="D29" s="29"/>
      <c r="E29" s="3"/>
      <c r="F29" s="28"/>
    </row>
    <row r="30">
      <c r="B30" s="21" t="s">
        <v>32</v>
      </c>
      <c r="C30" s="14"/>
      <c r="D30" s="23"/>
      <c r="E30" s="3" t="s">
        <v>80</v>
      </c>
      <c r="F30" s="30"/>
    </row>
    <row r="31">
      <c r="B31" s="21" t="s">
        <v>44</v>
      </c>
      <c r="C31" s="2" t="s">
        <v>45</v>
      </c>
      <c r="D31" s="3" t="s">
        <v>81</v>
      </c>
      <c r="E31" s="3"/>
      <c r="F31" s="27" t="s">
        <v>82</v>
      </c>
    </row>
    <row r="32">
      <c r="B32" s="20" t="s">
        <v>49</v>
      </c>
      <c r="C32" s="18"/>
      <c r="D32" s="3" t="s">
        <v>83</v>
      </c>
      <c r="E32" s="3"/>
      <c r="F32" s="28"/>
    </row>
    <row r="33">
      <c r="B33" s="21"/>
      <c r="C33" s="2"/>
      <c r="D33" s="3"/>
      <c r="E33" s="3"/>
      <c r="F33" s="28"/>
    </row>
    <row r="34">
      <c r="B34" s="21" t="s">
        <v>32</v>
      </c>
      <c r="C34" s="14"/>
      <c r="D34" s="3"/>
      <c r="E34" s="3" t="s">
        <v>84</v>
      </c>
      <c r="F34" s="30"/>
    </row>
    <row r="35">
      <c r="B35" s="21" t="s">
        <v>54</v>
      </c>
      <c r="C35" s="2" t="s">
        <v>55</v>
      </c>
      <c r="D35" s="3" t="s">
        <v>85</v>
      </c>
      <c r="E35" s="3"/>
      <c r="F35" s="27" t="s">
        <v>86</v>
      </c>
    </row>
    <row r="36">
      <c r="B36" s="20" t="s">
        <v>59</v>
      </c>
      <c r="C36" s="18"/>
      <c r="D36" s="3" t="s">
        <v>87</v>
      </c>
      <c r="E36" s="3"/>
      <c r="F36" s="28"/>
    </row>
    <row r="37">
      <c r="B37" s="21"/>
      <c r="C37" s="2"/>
      <c r="D37" s="3"/>
      <c r="E37" s="3"/>
      <c r="F37" s="28"/>
    </row>
    <row r="38">
      <c r="B38" s="21" t="s">
        <v>32</v>
      </c>
      <c r="C38" s="2"/>
      <c r="D38" s="3"/>
      <c r="E38" s="3" t="s">
        <v>88</v>
      </c>
      <c r="F38" s="30"/>
    </row>
    <row r="39">
      <c r="B39" s="21" t="s">
        <v>64</v>
      </c>
      <c r="C39" s="2" t="s">
        <v>65</v>
      </c>
      <c r="D39" s="3" t="s">
        <v>89</v>
      </c>
      <c r="E39" s="3"/>
      <c r="F39" s="27" t="s">
        <v>90</v>
      </c>
    </row>
    <row r="40">
      <c r="B40" s="20" t="s">
        <v>69</v>
      </c>
      <c r="C40" s="18"/>
      <c r="D40" s="3" t="s">
        <v>91</v>
      </c>
      <c r="E40" s="3"/>
      <c r="F40" s="28"/>
    </row>
    <row r="41">
      <c r="B41" s="18"/>
      <c r="C41" s="18"/>
      <c r="D41" s="3"/>
      <c r="E41" s="3"/>
      <c r="F41" s="28"/>
    </row>
    <row r="42">
      <c r="B42" s="21" t="s">
        <v>32</v>
      </c>
      <c r="C42" s="18"/>
      <c r="D42" s="3"/>
      <c r="E42" s="3" t="s">
        <v>92</v>
      </c>
      <c r="F42" s="30"/>
    </row>
  </sheetData>
  <mergeCells count="5">
    <mergeCell ref="O7:Q7"/>
    <mergeCell ref="F27:F30"/>
    <mergeCell ref="F31:F34"/>
    <mergeCell ref="F35:F38"/>
    <mergeCell ref="F39:F42"/>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0"/>
    <col customWidth="1" min="6" max="6" width="24.0"/>
  </cols>
  <sheetData>
    <row r="1">
      <c r="A1" s="5" t="s">
        <v>30</v>
      </c>
      <c r="B1" s="5" t="s">
        <v>93</v>
      </c>
      <c r="C1" s="5" t="s">
        <v>94</v>
      </c>
      <c r="F1" s="14" t="s">
        <v>17</v>
      </c>
      <c r="G1" s="5" t="s">
        <v>28</v>
      </c>
      <c r="H1" s="5" t="s">
        <v>29</v>
      </c>
      <c r="I1" s="5" t="s">
        <v>30</v>
      </c>
    </row>
    <row r="2">
      <c r="A2" s="5">
        <v>1.0</v>
      </c>
      <c r="B2" s="5">
        <v>3053.0</v>
      </c>
      <c r="C2" s="31">
        <f t="shared" ref="C2:C16" si="1">B2/65</f>
        <v>46.96923077</v>
      </c>
      <c r="D2" s="14"/>
      <c r="F2" s="14" t="s">
        <v>34</v>
      </c>
      <c r="G2" s="5">
        <v>2.1</v>
      </c>
      <c r="H2" s="5">
        <v>4.5</v>
      </c>
      <c r="I2" s="5">
        <v>3.5</v>
      </c>
    </row>
    <row r="3">
      <c r="A3" s="5">
        <v>1.5</v>
      </c>
      <c r="B3" s="5">
        <v>3577.0</v>
      </c>
      <c r="C3" s="31">
        <f t="shared" si="1"/>
        <v>55.03076923</v>
      </c>
      <c r="D3" s="14"/>
      <c r="F3" s="5" t="s">
        <v>95</v>
      </c>
      <c r="G3" s="5">
        <v>2.8</v>
      </c>
      <c r="H3" s="5">
        <v>5.8</v>
      </c>
      <c r="I3" s="5">
        <v>4.3</v>
      </c>
    </row>
    <row r="4">
      <c r="A4" s="5">
        <v>2.0</v>
      </c>
      <c r="B4" s="5">
        <v>4101.0</v>
      </c>
      <c r="C4" s="31">
        <f t="shared" si="1"/>
        <v>63.09230769</v>
      </c>
      <c r="D4" s="21"/>
      <c r="F4" s="5" t="s">
        <v>96</v>
      </c>
      <c r="G4" s="5">
        <v>4.0</v>
      </c>
      <c r="H4" s="5">
        <v>7.3</v>
      </c>
      <c r="I4" s="5">
        <v>5.2</v>
      </c>
    </row>
    <row r="5">
      <c r="A5" s="5">
        <v>2.5</v>
      </c>
      <c r="B5" s="5">
        <v>4624.0</v>
      </c>
      <c r="C5" s="31">
        <f t="shared" si="1"/>
        <v>71.13846154</v>
      </c>
      <c r="D5" s="21"/>
      <c r="F5" s="5" t="s">
        <v>97</v>
      </c>
      <c r="G5" s="5">
        <v>3.0</v>
      </c>
      <c r="H5" s="5">
        <v>6.0</v>
      </c>
      <c r="I5" s="5">
        <v>4.5</v>
      </c>
    </row>
    <row r="6">
      <c r="A6" s="5">
        <v>3.0</v>
      </c>
      <c r="B6" s="5">
        <v>5569.0</v>
      </c>
      <c r="C6" s="31">
        <f t="shared" si="1"/>
        <v>85.67692308</v>
      </c>
      <c r="D6" s="21"/>
    </row>
    <row r="7">
      <c r="A7" s="5">
        <v>3.5</v>
      </c>
      <c r="B7" s="5">
        <v>6089.0</v>
      </c>
      <c r="C7" s="31">
        <f t="shared" si="1"/>
        <v>93.67692308</v>
      </c>
      <c r="D7" s="21"/>
    </row>
    <row r="8">
      <c r="A8" s="5">
        <v>4.0</v>
      </c>
      <c r="B8" s="5">
        <v>6609.0</v>
      </c>
      <c r="C8" s="31">
        <f t="shared" si="1"/>
        <v>101.6769231</v>
      </c>
      <c r="D8" s="21"/>
    </row>
    <row r="9">
      <c r="A9" s="5">
        <v>4.5</v>
      </c>
      <c r="B9" s="5">
        <v>7129.0</v>
      </c>
      <c r="C9" s="31">
        <f t="shared" si="1"/>
        <v>109.6769231</v>
      </c>
      <c r="D9" s="21"/>
    </row>
    <row r="10">
      <c r="A10" s="5">
        <v>5.0</v>
      </c>
      <c r="B10" s="5">
        <v>7647.0</v>
      </c>
      <c r="C10" s="31">
        <f t="shared" si="1"/>
        <v>117.6461538</v>
      </c>
    </row>
    <row r="11">
      <c r="A11" s="32">
        <v>5.5</v>
      </c>
      <c r="B11" s="32">
        <v>8200.0</v>
      </c>
      <c r="C11" s="31">
        <f t="shared" si="1"/>
        <v>126.1538462</v>
      </c>
    </row>
    <row r="12">
      <c r="A12" s="32">
        <v>6.0</v>
      </c>
      <c r="B12" s="32">
        <v>9000.0</v>
      </c>
      <c r="C12" s="31">
        <f t="shared" si="1"/>
        <v>138.4615385</v>
      </c>
    </row>
    <row r="13">
      <c r="A13" s="32">
        <v>6.5</v>
      </c>
      <c r="B13" s="32">
        <v>9500.0</v>
      </c>
      <c r="C13" s="31">
        <f t="shared" si="1"/>
        <v>146.1538462</v>
      </c>
    </row>
    <row r="14">
      <c r="A14" s="32">
        <v>7.0</v>
      </c>
      <c r="B14" s="32">
        <v>10500.0</v>
      </c>
      <c r="C14" s="31">
        <f t="shared" si="1"/>
        <v>161.5384615</v>
      </c>
    </row>
    <row r="15">
      <c r="A15" s="32">
        <v>7.5</v>
      </c>
      <c r="B15" s="32">
        <v>11000.0</v>
      </c>
      <c r="C15" s="31">
        <f t="shared" si="1"/>
        <v>169.2307692</v>
      </c>
    </row>
    <row r="16">
      <c r="A16" s="5">
        <v>10.0</v>
      </c>
      <c r="B16" s="5">
        <v>12085.0</v>
      </c>
      <c r="C16" s="31">
        <f t="shared" si="1"/>
        <v>185.9230769</v>
      </c>
    </row>
    <row r="18">
      <c r="A18" s="14" t="s">
        <v>34</v>
      </c>
    </row>
    <row r="19">
      <c r="A19" s="33" t="s">
        <v>98</v>
      </c>
    </row>
    <row r="20">
      <c r="A20" s="33" t="s">
        <v>99</v>
      </c>
    </row>
    <row r="21">
      <c r="A21" s="33" t="s">
        <v>100</v>
      </c>
    </row>
    <row r="22">
      <c r="A22" s="33" t="s">
        <v>101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102</v>
      </c>
      <c r="B1" s="35"/>
      <c r="C1" s="35"/>
      <c r="D1" s="35"/>
      <c r="E1" s="35"/>
      <c r="F1" s="35"/>
      <c r="G1" s="35"/>
      <c r="H1" s="35"/>
      <c r="I1" s="35"/>
      <c r="J1" s="35"/>
      <c r="K1" s="35"/>
      <c r="L1" s="35"/>
      <c r="M1" s="35"/>
      <c r="N1" s="35"/>
      <c r="O1" s="35"/>
      <c r="P1" s="35"/>
      <c r="Q1" s="35"/>
      <c r="R1" s="35"/>
      <c r="S1" s="35"/>
      <c r="T1" s="35"/>
      <c r="U1" s="35"/>
      <c r="V1" s="35"/>
      <c r="W1" s="35"/>
      <c r="X1" s="35"/>
      <c r="Y1" s="35"/>
      <c r="Z1" s="35"/>
    </row>
    <row r="2">
      <c r="A2" s="34" t="s">
        <v>103</v>
      </c>
      <c r="B2" s="35"/>
      <c r="C2" s="35"/>
      <c r="D2" s="35"/>
      <c r="E2" s="35"/>
      <c r="F2" s="35"/>
      <c r="G2" s="35"/>
      <c r="H2" s="35"/>
      <c r="I2" s="35"/>
      <c r="J2" s="35"/>
      <c r="K2" s="35"/>
      <c r="L2" s="35"/>
      <c r="M2" s="35"/>
      <c r="N2" s="35"/>
      <c r="O2" s="35"/>
      <c r="P2" s="35"/>
      <c r="Q2" s="35"/>
      <c r="R2" s="35"/>
      <c r="S2" s="35"/>
      <c r="T2" s="35"/>
      <c r="U2" s="35"/>
      <c r="V2" s="35"/>
      <c r="W2" s="35"/>
      <c r="X2" s="35"/>
      <c r="Y2" s="35"/>
      <c r="Z2" s="35"/>
    </row>
    <row r="3">
      <c r="A3" s="34" t="s">
        <v>104</v>
      </c>
      <c r="B3" s="35"/>
      <c r="C3" s="35"/>
      <c r="D3" s="35"/>
      <c r="E3" s="35"/>
      <c r="F3" s="35"/>
      <c r="G3" s="35"/>
      <c r="H3" s="35"/>
      <c r="I3" s="35"/>
      <c r="J3" s="35"/>
      <c r="K3" s="35"/>
      <c r="L3" s="35"/>
      <c r="M3" s="35"/>
      <c r="N3" s="35"/>
      <c r="O3" s="35"/>
      <c r="P3" s="35"/>
      <c r="Q3" s="35"/>
      <c r="R3" s="35"/>
      <c r="S3" s="35"/>
      <c r="T3" s="35"/>
      <c r="U3" s="35"/>
      <c r="V3" s="35"/>
      <c r="W3" s="35"/>
      <c r="X3" s="35"/>
      <c r="Y3" s="35"/>
      <c r="Z3" s="35"/>
    </row>
    <row r="4">
      <c r="A4" s="34" t="s">
        <v>105</v>
      </c>
      <c r="B4" s="35"/>
      <c r="C4" s="35"/>
      <c r="D4" s="35"/>
      <c r="E4" s="35"/>
      <c r="F4" s="35"/>
      <c r="G4" s="35"/>
      <c r="H4" s="35"/>
      <c r="I4" s="35"/>
      <c r="J4" s="35"/>
      <c r="K4" s="35"/>
      <c r="L4" s="35"/>
      <c r="M4" s="35"/>
      <c r="N4" s="35"/>
      <c r="O4" s="35"/>
      <c r="P4" s="35"/>
      <c r="Q4" s="35"/>
      <c r="R4" s="35"/>
      <c r="S4" s="35"/>
      <c r="T4" s="35"/>
      <c r="U4" s="35"/>
      <c r="V4" s="35"/>
      <c r="W4" s="35"/>
      <c r="X4" s="35"/>
      <c r="Y4" s="35"/>
      <c r="Z4" s="35"/>
    </row>
    <row r="5">
      <c r="A5" s="34" t="s">
        <v>106</v>
      </c>
      <c r="B5" s="35"/>
      <c r="C5" s="35"/>
      <c r="D5" s="35"/>
      <c r="E5" s="35"/>
      <c r="F5" s="35"/>
      <c r="G5" s="35"/>
      <c r="H5" s="35"/>
      <c r="I5" s="35"/>
      <c r="J5" s="35"/>
      <c r="K5" s="35"/>
      <c r="L5" s="35"/>
      <c r="M5" s="35"/>
      <c r="N5" s="35"/>
      <c r="O5" s="35"/>
      <c r="P5" s="35"/>
      <c r="Q5" s="35"/>
      <c r="R5" s="35"/>
      <c r="S5" s="35"/>
      <c r="T5" s="35"/>
      <c r="U5" s="35"/>
      <c r="V5" s="35"/>
      <c r="W5" s="35"/>
      <c r="X5" s="35"/>
      <c r="Y5" s="35"/>
      <c r="Z5" s="35"/>
    </row>
    <row r="6">
      <c r="A6" s="34" t="s">
        <v>107</v>
      </c>
      <c r="B6" s="35"/>
      <c r="C6" s="35"/>
      <c r="D6" s="35"/>
      <c r="E6" s="35"/>
      <c r="F6" s="35"/>
      <c r="G6" s="35"/>
      <c r="H6" s="35"/>
      <c r="I6" s="35"/>
      <c r="J6" s="35"/>
      <c r="K6" s="35"/>
      <c r="L6" s="35"/>
      <c r="M6" s="35"/>
      <c r="N6" s="35"/>
      <c r="O6" s="35"/>
      <c r="P6" s="35"/>
      <c r="Q6" s="35"/>
      <c r="R6" s="35"/>
      <c r="S6" s="35"/>
      <c r="T6" s="35"/>
      <c r="U6" s="35"/>
      <c r="V6" s="35"/>
      <c r="W6" s="35"/>
      <c r="X6" s="35"/>
      <c r="Y6" s="35"/>
      <c r="Z6" s="35"/>
    </row>
    <row r="7">
      <c r="A7" s="34" t="s">
        <v>108</v>
      </c>
      <c r="B7" s="35"/>
      <c r="C7" s="35"/>
      <c r="D7" s="35"/>
      <c r="E7" s="35"/>
      <c r="F7" s="35"/>
      <c r="G7" s="35"/>
      <c r="H7" s="35"/>
      <c r="I7" s="35"/>
      <c r="J7" s="35"/>
      <c r="K7" s="35"/>
      <c r="L7" s="35"/>
      <c r="M7" s="35"/>
      <c r="N7" s="35"/>
      <c r="O7" s="35"/>
      <c r="P7" s="35"/>
      <c r="Q7" s="35"/>
      <c r="R7" s="35"/>
      <c r="S7" s="35"/>
      <c r="T7" s="35"/>
      <c r="U7" s="35"/>
      <c r="V7" s="35"/>
      <c r="W7" s="35"/>
      <c r="X7" s="35"/>
      <c r="Y7" s="35"/>
      <c r="Z7" s="35"/>
    </row>
    <row r="8">
      <c r="A8" s="34" t="s">
        <v>109</v>
      </c>
      <c r="B8" s="35"/>
      <c r="C8" s="35"/>
      <c r="D8" s="35"/>
      <c r="E8" s="35"/>
      <c r="F8" s="35"/>
      <c r="G8" s="35"/>
      <c r="H8" s="35"/>
      <c r="I8" s="35"/>
      <c r="J8" s="35"/>
      <c r="K8" s="35"/>
      <c r="L8" s="35"/>
      <c r="M8" s="35"/>
      <c r="N8" s="35"/>
      <c r="O8" s="35"/>
      <c r="P8" s="35"/>
      <c r="Q8" s="35"/>
      <c r="R8" s="35"/>
      <c r="S8" s="35"/>
      <c r="T8" s="35"/>
      <c r="U8" s="35"/>
      <c r="V8" s="35"/>
      <c r="W8" s="35"/>
      <c r="X8" s="35"/>
      <c r="Y8" s="35"/>
      <c r="Z8" s="35"/>
    </row>
    <row r="9">
      <c r="A9" s="34" t="s">
        <v>110</v>
      </c>
      <c r="B9" s="35"/>
      <c r="C9" s="35"/>
      <c r="D9" s="35"/>
      <c r="E9" s="35"/>
      <c r="F9" s="35"/>
      <c r="G9" s="35"/>
      <c r="H9" s="35"/>
      <c r="I9" s="35"/>
      <c r="J9" s="35"/>
      <c r="K9" s="35"/>
      <c r="L9" s="35"/>
      <c r="M9" s="35"/>
      <c r="N9" s="35"/>
      <c r="O9" s="35"/>
      <c r="P9" s="35"/>
      <c r="Q9" s="35"/>
      <c r="R9" s="35"/>
      <c r="S9" s="35"/>
      <c r="T9" s="35"/>
      <c r="U9" s="35"/>
      <c r="V9" s="35"/>
      <c r="W9" s="35"/>
      <c r="X9" s="35"/>
      <c r="Y9" s="35"/>
      <c r="Z9" s="35"/>
    </row>
    <row r="10">
      <c r="A10" s="34" t="s">
        <v>111</v>
      </c>
      <c r="B10" s="35"/>
      <c r="C10" s="35"/>
      <c r="D10" s="35"/>
      <c r="E10" s="35"/>
      <c r="F10" s="35"/>
      <c r="G10" s="35"/>
      <c r="H10" s="35"/>
      <c r="I10" s="35"/>
      <c r="J10" s="35"/>
      <c r="K10" s="35"/>
      <c r="L10" s="35"/>
      <c r="M10" s="35"/>
      <c r="N10" s="35"/>
      <c r="O10" s="35"/>
      <c r="P10" s="35"/>
      <c r="Q10" s="35"/>
      <c r="R10" s="35"/>
      <c r="S10" s="35"/>
      <c r="T10" s="35"/>
      <c r="U10" s="35"/>
      <c r="V10" s="35"/>
      <c r="W10" s="35"/>
      <c r="X10" s="35"/>
      <c r="Y10" s="35"/>
      <c r="Z10" s="35"/>
    </row>
    <row r="11">
      <c r="A11" s="34" t="s">
        <v>112</v>
      </c>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c r="A12" s="34" t="s">
        <v>113</v>
      </c>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4" t="s">
        <v>114</v>
      </c>
      <c r="B13" s="35"/>
      <c r="C13" s="35"/>
      <c r="D13" s="35"/>
      <c r="E13" s="35"/>
      <c r="F13" s="35"/>
      <c r="G13" s="35"/>
      <c r="H13" s="35"/>
      <c r="I13" s="35"/>
      <c r="J13" s="35"/>
      <c r="K13" s="35"/>
      <c r="L13" s="35"/>
      <c r="M13" s="35"/>
      <c r="N13" s="35"/>
      <c r="O13" s="35"/>
      <c r="P13" s="35"/>
      <c r="Q13" s="35"/>
      <c r="R13" s="35"/>
      <c r="S13" s="35"/>
      <c r="T13" s="35"/>
      <c r="U13" s="35"/>
      <c r="V13" s="35"/>
      <c r="W13" s="35"/>
      <c r="X13" s="35"/>
      <c r="Y13" s="35"/>
      <c r="Z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row>
    <row r="15">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row>
    <row r="16">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row>
    <row r="18">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3" max="3" width="16.75"/>
    <col customWidth="1" min="4" max="4" width="13.63"/>
  </cols>
  <sheetData>
    <row r="1">
      <c r="A1" s="36" t="s">
        <v>17</v>
      </c>
      <c r="B1" s="5" t="s">
        <v>115</v>
      </c>
      <c r="C1" s="36" t="s">
        <v>116</v>
      </c>
      <c r="D1" s="36" t="s">
        <v>117</v>
      </c>
      <c r="E1" s="36" t="s">
        <v>118</v>
      </c>
      <c r="F1" s="36" t="s">
        <v>119</v>
      </c>
      <c r="G1" s="36" t="s">
        <v>120</v>
      </c>
      <c r="H1" s="36" t="s">
        <v>121</v>
      </c>
      <c r="I1" s="36" t="s">
        <v>122</v>
      </c>
      <c r="J1" s="36" t="s">
        <v>123</v>
      </c>
      <c r="K1" s="36" t="s">
        <v>124</v>
      </c>
      <c r="L1" s="36" t="s">
        <v>125</v>
      </c>
    </row>
    <row r="2">
      <c r="A2" s="36" t="s">
        <v>126</v>
      </c>
      <c r="B2" s="36" t="s">
        <v>127</v>
      </c>
      <c r="C2" s="37" t="s">
        <v>128</v>
      </c>
      <c r="D2" s="37">
        <v>25.0</v>
      </c>
      <c r="E2" s="37">
        <v>20.0</v>
      </c>
      <c r="F2" s="37">
        <v>2.0</v>
      </c>
      <c r="G2" s="37">
        <v>1000.0</v>
      </c>
      <c r="H2" s="37">
        <v>0.2</v>
      </c>
      <c r="I2" s="37">
        <v>5000.0</v>
      </c>
      <c r="J2" s="37">
        <v>0.2</v>
      </c>
      <c r="K2" s="37">
        <v>0.2</v>
      </c>
      <c r="L2" s="38">
        <v>0.05</v>
      </c>
    </row>
    <row r="3">
      <c r="A3" s="36" t="s">
        <v>126</v>
      </c>
      <c r="B3" s="36" t="s">
        <v>129</v>
      </c>
      <c r="C3" s="37" t="s">
        <v>128</v>
      </c>
      <c r="D3" s="37">
        <v>30.0</v>
      </c>
      <c r="E3" s="37">
        <v>20.0</v>
      </c>
      <c r="F3" s="37">
        <v>3.0</v>
      </c>
      <c r="G3" s="37">
        <v>1800.0</v>
      </c>
      <c r="H3" s="39">
        <v>0.25</v>
      </c>
      <c r="I3" s="37">
        <v>5000.0</v>
      </c>
      <c r="J3" s="37">
        <v>0.36</v>
      </c>
      <c r="K3" s="37">
        <v>0.36</v>
      </c>
      <c r="L3" s="38">
        <v>0.05</v>
      </c>
    </row>
    <row r="4">
      <c r="A4" s="36" t="s">
        <v>126</v>
      </c>
      <c r="B4" s="36" t="s">
        <v>130</v>
      </c>
      <c r="C4" s="37" t="s">
        <v>128</v>
      </c>
      <c r="D4" s="37">
        <v>30.0</v>
      </c>
      <c r="E4" s="37">
        <v>22.0</v>
      </c>
      <c r="F4" s="37">
        <v>3.0</v>
      </c>
      <c r="G4" s="37">
        <v>1980.0</v>
      </c>
      <c r="H4" s="39">
        <v>0.3</v>
      </c>
      <c r="I4" s="37">
        <v>5000.0</v>
      </c>
      <c r="J4" s="37">
        <v>0.396</v>
      </c>
      <c r="K4" s="37">
        <v>0.396</v>
      </c>
      <c r="L4" s="38">
        <v>0.05</v>
      </c>
    </row>
    <row r="5">
      <c r="A5" s="36" t="s">
        <v>126</v>
      </c>
      <c r="B5" s="36" t="s">
        <v>131</v>
      </c>
      <c r="C5" s="37" t="s">
        <v>128</v>
      </c>
      <c r="D5" s="37">
        <v>25.0</v>
      </c>
      <c r="E5" s="37">
        <v>20.0</v>
      </c>
      <c r="F5" s="37">
        <v>2.0</v>
      </c>
      <c r="G5" s="37">
        <v>1000.0</v>
      </c>
      <c r="H5" s="37">
        <v>0.2</v>
      </c>
      <c r="I5" s="37">
        <v>5000.0</v>
      </c>
      <c r="J5" s="37">
        <v>0.2</v>
      </c>
      <c r="K5" s="37">
        <v>0.2</v>
      </c>
      <c r="L5" s="38">
        <v>0.05</v>
      </c>
    </row>
    <row r="6">
      <c r="A6" s="36" t="s">
        <v>126</v>
      </c>
      <c r="B6" s="36" t="s">
        <v>132</v>
      </c>
      <c r="C6" s="37" t="s">
        <v>128</v>
      </c>
      <c r="D6" s="37">
        <v>25.0</v>
      </c>
      <c r="E6" s="37">
        <v>20.0</v>
      </c>
      <c r="F6" s="37">
        <v>2.0</v>
      </c>
      <c r="G6" s="37">
        <v>1000.0</v>
      </c>
      <c r="H6" s="37">
        <v>0.15</v>
      </c>
      <c r="I6" s="37">
        <v>5000.0</v>
      </c>
      <c r="J6" s="37">
        <v>0.2</v>
      </c>
      <c r="K6" s="37">
        <v>0.2</v>
      </c>
      <c r="L6" s="38">
        <v>0.05</v>
      </c>
    </row>
    <row r="7">
      <c r="A7" s="36" t="s">
        <v>126</v>
      </c>
      <c r="B7" s="36" t="s">
        <v>133</v>
      </c>
      <c r="C7" s="37" t="s">
        <v>128</v>
      </c>
      <c r="D7" s="37">
        <v>30.0</v>
      </c>
      <c r="E7" s="37">
        <v>25.0</v>
      </c>
      <c r="F7" s="37">
        <v>3.0</v>
      </c>
      <c r="G7" s="37">
        <v>2250.0</v>
      </c>
      <c r="H7" s="39">
        <v>0.35</v>
      </c>
      <c r="I7" s="37">
        <v>5000.0</v>
      </c>
      <c r="J7" s="37">
        <v>0.45</v>
      </c>
      <c r="K7" s="37">
        <v>0.45</v>
      </c>
      <c r="L7" s="38">
        <v>0.05</v>
      </c>
    </row>
    <row r="8">
      <c r="A8" s="36" t="s">
        <v>126</v>
      </c>
      <c r="B8" s="36" t="s">
        <v>134</v>
      </c>
      <c r="C8" s="37" t="s">
        <v>128</v>
      </c>
      <c r="D8" s="37">
        <v>20.0</v>
      </c>
      <c r="E8" s="37">
        <v>15.0</v>
      </c>
      <c r="F8" s="37">
        <v>2.0</v>
      </c>
      <c r="G8" s="37">
        <v>600.0</v>
      </c>
      <c r="H8" s="37">
        <v>0.1</v>
      </c>
      <c r="I8" s="37">
        <v>5000.0</v>
      </c>
      <c r="J8" s="37">
        <v>0.12</v>
      </c>
      <c r="K8" s="37">
        <v>0.12</v>
      </c>
      <c r="L8" s="38">
        <v>0.05</v>
      </c>
    </row>
    <row r="9">
      <c r="A9" s="36" t="s">
        <v>126</v>
      </c>
      <c r="B9" s="36" t="s">
        <v>135</v>
      </c>
      <c r="C9" s="37" t="s">
        <v>136</v>
      </c>
      <c r="D9" s="37">
        <v>35.0</v>
      </c>
      <c r="E9" s="37">
        <v>25.0</v>
      </c>
      <c r="F9" s="37">
        <v>5.0</v>
      </c>
      <c r="G9" s="37">
        <v>4375.0</v>
      </c>
      <c r="H9" s="39">
        <v>0.6</v>
      </c>
      <c r="I9" s="37">
        <v>5000.0</v>
      </c>
      <c r="J9" s="37">
        <v>0.875</v>
      </c>
      <c r="K9" s="37">
        <v>0.875</v>
      </c>
      <c r="L9" s="38">
        <v>0.1</v>
      </c>
    </row>
    <row r="10">
      <c r="A10" s="36" t="s">
        <v>126</v>
      </c>
      <c r="B10" s="36" t="s">
        <v>137</v>
      </c>
      <c r="C10" s="37" t="s">
        <v>136</v>
      </c>
      <c r="D10" s="37">
        <v>35.0</v>
      </c>
      <c r="E10" s="37">
        <v>25.0</v>
      </c>
      <c r="F10" s="37">
        <v>4.0</v>
      </c>
      <c r="G10" s="37">
        <v>3500.0</v>
      </c>
      <c r="H10" s="37">
        <v>0.5</v>
      </c>
      <c r="I10" s="37">
        <v>5000.0</v>
      </c>
      <c r="J10" s="37">
        <v>0.7</v>
      </c>
      <c r="K10" s="37">
        <v>0.7</v>
      </c>
      <c r="L10" s="38">
        <v>0.1</v>
      </c>
    </row>
    <row r="11">
      <c r="A11" s="36" t="s">
        <v>126</v>
      </c>
      <c r="B11" s="36" t="s">
        <v>138</v>
      </c>
      <c r="C11" s="37" t="s">
        <v>136</v>
      </c>
      <c r="D11" s="37">
        <v>35.0</v>
      </c>
      <c r="E11" s="37">
        <v>25.0</v>
      </c>
      <c r="F11" s="37">
        <v>4.0</v>
      </c>
      <c r="G11" s="37">
        <v>3500.0</v>
      </c>
      <c r="H11" s="37">
        <v>0.45</v>
      </c>
      <c r="I11" s="37">
        <v>5000.0</v>
      </c>
      <c r="J11" s="37">
        <v>0.7</v>
      </c>
      <c r="K11" s="37">
        <v>0.7</v>
      </c>
      <c r="L11" s="38">
        <v>0.1</v>
      </c>
    </row>
    <row r="12">
      <c r="A12" s="36" t="s">
        <v>126</v>
      </c>
      <c r="B12" s="36" t="s">
        <v>139</v>
      </c>
      <c r="C12" s="37" t="s">
        <v>140</v>
      </c>
      <c r="D12" s="37">
        <v>25.0</v>
      </c>
      <c r="E12" s="37">
        <v>20.0</v>
      </c>
      <c r="F12" s="37">
        <v>3.0</v>
      </c>
      <c r="G12" s="37">
        <v>1500.0</v>
      </c>
      <c r="H12" s="37">
        <v>0.25</v>
      </c>
      <c r="I12" s="37">
        <v>5000.0</v>
      </c>
      <c r="J12" s="37">
        <v>0.3</v>
      </c>
      <c r="K12" s="37">
        <v>0.3</v>
      </c>
      <c r="L12" s="38">
        <v>0.05</v>
      </c>
    </row>
    <row r="13">
      <c r="A13" s="36" t="s">
        <v>126</v>
      </c>
      <c r="B13" s="36" t="s">
        <v>141</v>
      </c>
      <c r="C13" s="37" t="s">
        <v>140</v>
      </c>
      <c r="D13" s="37">
        <v>30.0</v>
      </c>
      <c r="E13" s="37">
        <v>25.0</v>
      </c>
      <c r="F13" s="37">
        <v>3.0</v>
      </c>
      <c r="G13" s="37">
        <v>2250.0</v>
      </c>
      <c r="H13" s="39">
        <v>0.3</v>
      </c>
      <c r="I13" s="37">
        <v>5000.0</v>
      </c>
      <c r="J13" s="37">
        <v>0.45</v>
      </c>
      <c r="K13" s="37">
        <v>0.45</v>
      </c>
      <c r="L13" s="38">
        <v>0.05</v>
      </c>
    </row>
    <row r="14">
      <c r="A14" s="36" t="s">
        <v>126</v>
      </c>
      <c r="B14" s="36" t="s">
        <v>142</v>
      </c>
      <c r="C14" s="37" t="s">
        <v>140</v>
      </c>
      <c r="D14" s="37">
        <v>25.0</v>
      </c>
      <c r="E14" s="37">
        <v>20.0</v>
      </c>
      <c r="F14" s="37">
        <v>2.0</v>
      </c>
      <c r="G14" s="37">
        <v>1000.0</v>
      </c>
      <c r="H14" s="37">
        <v>0.2</v>
      </c>
      <c r="I14" s="37">
        <v>5000.0</v>
      </c>
      <c r="J14" s="37">
        <v>0.2</v>
      </c>
      <c r="K14" s="37">
        <v>0.2</v>
      </c>
      <c r="L14" s="38">
        <v>0.05</v>
      </c>
    </row>
    <row r="15">
      <c r="A15" s="36" t="s">
        <v>126</v>
      </c>
      <c r="B15" s="36" t="s">
        <v>143</v>
      </c>
      <c r="C15" s="37" t="s">
        <v>136</v>
      </c>
      <c r="D15" s="37">
        <v>35.0</v>
      </c>
      <c r="E15" s="37">
        <v>25.0</v>
      </c>
      <c r="F15" s="37">
        <v>5.0</v>
      </c>
      <c r="G15" s="37">
        <v>4375.0</v>
      </c>
      <c r="H15" s="37">
        <v>0.5</v>
      </c>
      <c r="I15" s="37">
        <v>5000.0</v>
      </c>
      <c r="J15" s="37">
        <v>0.875</v>
      </c>
      <c r="K15" s="37">
        <v>0.875</v>
      </c>
      <c r="L15" s="38">
        <v>0.1</v>
      </c>
    </row>
    <row r="16">
      <c r="A16" s="36" t="s">
        <v>126</v>
      </c>
      <c r="B16" s="36" t="s">
        <v>144</v>
      </c>
      <c r="C16" s="37" t="s">
        <v>145</v>
      </c>
      <c r="D16" s="37">
        <v>35.0</v>
      </c>
      <c r="E16" s="37">
        <v>30.0</v>
      </c>
      <c r="F16" s="37">
        <v>8.0</v>
      </c>
      <c r="G16" s="37">
        <v>8400.0</v>
      </c>
      <c r="H16" s="37">
        <v>0.6</v>
      </c>
      <c r="I16" s="37">
        <v>5000.0</v>
      </c>
      <c r="J16" s="37">
        <v>1.68</v>
      </c>
      <c r="K16" s="37">
        <v>1.68</v>
      </c>
      <c r="L16" s="38">
        <v>0.1</v>
      </c>
    </row>
    <row r="17">
      <c r="A17" s="36" t="s">
        <v>126</v>
      </c>
      <c r="B17" s="36" t="s">
        <v>146</v>
      </c>
      <c r="C17" s="37" t="s">
        <v>145</v>
      </c>
      <c r="D17" s="37">
        <v>35.0</v>
      </c>
      <c r="E17" s="37">
        <v>25.0</v>
      </c>
      <c r="F17" s="37">
        <v>6.0</v>
      </c>
      <c r="G17" s="37">
        <v>5250.0</v>
      </c>
      <c r="H17" s="37">
        <v>0.4</v>
      </c>
      <c r="I17" s="37">
        <v>5000.0</v>
      </c>
      <c r="J17" s="37">
        <v>1.05</v>
      </c>
      <c r="K17" s="37">
        <v>1.05</v>
      </c>
      <c r="L17" s="38">
        <v>0.1</v>
      </c>
    </row>
    <row r="18">
      <c r="A18" s="36" t="s">
        <v>126</v>
      </c>
      <c r="B18" s="36" t="s">
        <v>147</v>
      </c>
      <c r="C18" s="37" t="s">
        <v>145</v>
      </c>
      <c r="D18" s="37">
        <v>40.0</v>
      </c>
      <c r="E18" s="37">
        <v>30.0</v>
      </c>
      <c r="F18" s="37">
        <v>10.0</v>
      </c>
      <c r="G18" s="37">
        <v>12000.0</v>
      </c>
      <c r="H18" s="37">
        <v>0.7</v>
      </c>
      <c r="I18" s="37">
        <v>5000.0</v>
      </c>
      <c r="J18" s="37">
        <v>2.4</v>
      </c>
      <c r="K18" s="37">
        <v>2.4</v>
      </c>
      <c r="L18" s="38">
        <v>0.15</v>
      </c>
    </row>
    <row r="19">
      <c r="A19" s="36" t="s">
        <v>126</v>
      </c>
      <c r="B19" s="36" t="s">
        <v>148</v>
      </c>
      <c r="C19" s="37" t="s">
        <v>145</v>
      </c>
      <c r="D19" s="37">
        <v>40.0</v>
      </c>
      <c r="E19" s="37">
        <v>30.0</v>
      </c>
      <c r="F19" s="37">
        <v>8.0</v>
      </c>
      <c r="G19" s="37">
        <v>9600.0</v>
      </c>
      <c r="H19" s="37">
        <v>0.8</v>
      </c>
      <c r="I19" s="37">
        <v>5000.0</v>
      </c>
      <c r="J19" s="37">
        <v>1.92</v>
      </c>
      <c r="K19" s="37">
        <v>1.92</v>
      </c>
      <c r="L19" s="38">
        <v>0.1</v>
      </c>
    </row>
    <row r="20">
      <c r="A20" s="36" t="s">
        <v>126</v>
      </c>
      <c r="B20" s="36" t="s">
        <v>149</v>
      </c>
      <c r="C20" s="37" t="s">
        <v>150</v>
      </c>
      <c r="D20" s="37">
        <v>50.0</v>
      </c>
      <c r="E20" s="37">
        <v>40.0</v>
      </c>
      <c r="F20" s="37">
        <v>15.0</v>
      </c>
      <c r="G20" s="37">
        <v>30000.0</v>
      </c>
      <c r="H20" s="37">
        <v>1.5</v>
      </c>
      <c r="I20" s="37">
        <v>5000.0</v>
      </c>
      <c r="J20" s="37">
        <v>6.0</v>
      </c>
      <c r="K20" s="37">
        <v>6.0</v>
      </c>
      <c r="L20" s="38">
        <v>0.2</v>
      </c>
    </row>
    <row r="21">
      <c r="A21" s="36" t="s">
        <v>126</v>
      </c>
      <c r="B21" s="36" t="s">
        <v>151</v>
      </c>
      <c r="C21" s="37" t="s">
        <v>152</v>
      </c>
      <c r="D21" s="37">
        <v>45.0</v>
      </c>
      <c r="E21" s="37">
        <v>35.0</v>
      </c>
      <c r="F21" s="37">
        <v>10.0</v>
      </c>
      <c r="G21" s="37">
        <v>15750.0</v>
      </c>
      <c r="H21" s="37">
        <v>1.0</v>
      </c>
      <c r="I21" s="37">
        <v>5000.0</v>
      </c>
      <c r="J21" s="37">
        <v>3.15</v>
      </c>
      <c r="K21" s="37">
        <v>3.15</v>
      </c>
      <c r="L21" s="38">
        <v>0.15</v>
      </c>
    </row>
    <row r="22">
      <c r="A22" s="36" t="s">
        <v>126</v>
      </c>
      <c r="B22" s="40" t="s">
        <v>153</v>
      </c>
      <c r="C22" s="37"/>
      <c r="D22" s="37">
        <v>35.0</v>
      </c>
      <c r="E22" s="37">
        <v>25.0</v>
      </c>
      <c r="F22" s="37">
        <v>5.0</v>
      </c>
      <c r="G22" s="37">
        <v>4375.0</v>
      </c>
      <c r="H22" s="37">
        <v>0.4</v>
      </c>
      <c r="I22" s="37">
        <v>5000.0</v>
      </c>
      <c r="J22" s="37">
        <v>0.875</v>
      </c>
      <c r="K22" s="37">
        <v>0.875</v>
      </c>
      <c r="L22" s="38">
        <v>0.05</v>
      </c>
    </row>
    <row r="23">
      <c r="A23" s="36" t="s">
        <v>126</v>
      </c>
      <c r="B23" s="36" t="s">
        <v>154</v>
      </c>
      <c r="C23" s="37" t="s">
        <v>155</v>
      </c>
      <c r="D23" s="37">
        <v>30.0</v>
      </c>
      <c r="E23" s="37">
        <v>25.0</v>
      </c>
      <c r="F23" s="37">
        <v>4.0</v>
      </c>
      <c r="G23" s="37">
        <v>3000.0</v>
      </c>
      <c r="H23" s="37">
        <v>0.35</v>
      </c>
      <c r="I23" s="37">
        <v>5000.0</v>
      </c>
      <c r="J23" s="37">
        <v>0.6</v>
      </c>
      <c r="K23" s="37">
        <v>0.6</v>
      </c>
      <c r="L23" s="38">
        <v>0.05</v>
      </c>
    </row>
    <row r="24">
      <c r="A24" s="36" t="s">
        <v>126</v>
      </c>
      <c r="B24" s="36" t="s">
        <v>156</v>
      </c>
      <c r="C24" s="37" t="s">
        <v>155</v>
      </c>
      <c r="D24" s="37">
        <v>45.0</v>
      </c>
      <c r="E24" s="37">
        <v>35.0</v>
      </c>
      <c r="F24" s="37">
        <v>12.0</v>
      </c>
      <c r="G24" s="37">
        <v>18900.0</v>
      </c>
      <c r="H24" s="37">
        <v>1.2</v>
      </c>
      <c r="I24" s="37">
        <v>5000.0</v>
      </c>
      <c r="J24" s="37">
        <v>3.78</v>
      </c>
      <c r="K24" s="37">
        <v>3.78</v>
      </c>
      <c r="L24" s="38">
        <v>0.2</v>
      </c>
    </row>
    <row r="25">
      <c r="A25" s="36" t="s">
        <v>126</v>
      </c>
      <c r="B25" s="36" t="s">
        <v>157</v>
      </c>
      <c r="C25" s="37" t="s">
        <v>155</v>
      </c>
      <c r="D25" s="37">
        <v>35.0</v>
      </c>
      <c r="E25" s="37">
        <v>25.0</v>
      </c>
      <c r="F25" s="37">
        <v>5.0</v>
      </c>
      <c r="G25" s="37">
        <v>4375.0</v>
      </c>
      <c r="H25" s="37">
        <v>0.4</v>
      </c>
      <c r="I25" s="37">
        <v>5000.0</v>
      </c>
      <c r="J25" s="37">
        <v>0.875</v>
      </c>
      <c r="K25" s="37">
        <v>0.875</v>
      </c>
      <c r="L25" s="38">
        <v>0.05</v>
      </c>
    </row>
    <row r="26">
      <c r="A26" s="36" t="s">
        <v>126</v>
      </c>
      <c r="B26" s="36" t="s">
        <v>158</v>
      </c>
      <c r="C26" s="37" t="s">
        <v>155</v>
      </c>
      <c r="D26" s="37">
        <v>35.0</v>
      </c>
      <c r="E26" s="37">
        <v>25.0</v>
      </c>
      <c r="F26" s="37">
        <v>5.0</v>
      </c>
      <c r="G26" s="37">
        <v>4375.0</v>
      </c>
      <c r="H26" s="39">
        <v>0.5</v>
      </c>
      <c r="I26" s="37">
        <v>5000.0</v>
      </c>
      <c r="J26" s="37">
        <v>0.875</v>
      </c>
      <c r="K26" s="37">
        <v>0.875</v>
      </c>
      <c r="L26" s="38">
        <v>0.05</v>
      </c>
    </row>
    <row r="27">
      <c r="A27" s="36" t="s">
        <v>126</v>
      </c>
      <c r="B27" s="36" t="s">
        <v>159</v>
      </c>
      <c r="C27" s="37" t="s">
        <v>152</v>
      </c>
      <c r="D27" s="37">
        <v>45.0</v>
      </c>
      <c r="E27" s="37">
        <v>35.0</v>
      </c>
      <c r="F27" s="37">
        <v>15.0</v>
      </c>
      <c r="G27" s="37">
        <v>23625.0</v>
      </c>
      <c r="H27" s="39">
        <v>2.5</v>
      </c>
      <c r="I27" s="37">
        <v>5000.0</v>
      </c>
      <c r="J27" s="37">
        <v>4.725</v>
      </c>
      <c r="K27" s="37">
        <v>4.725</v>
      </c>
      <c r="L27" s="38">
        <v>0.15</v>
      </c>
    </row>
    <row r="28">
      <c r="A28" s="36" t="s">
        <v>126</v>
      </c>
      <c r="B28" s="36" t="s">
        <v>160</v>
      </c>
      <c r="C28" s="37" t="s">
        <v>152</v>
      </c>
      <c r="D28" s="37">
        <v>35.0</v>
      </c>
      <c r="E28" s="37">
        <v>30.0</v>
      </c>
      <c r="F28" s="37">
        <v>8.0</v>
      </c>
      <c r="G28" s="37">
        <v>8400.0</v>
      </c>
      <c r="H28" s="37">
        <v>0.8</v>
      </c>
      <c r="I28" s="37">
        <v>5000.0</v>
      </c>
      <c r="J28" s="37">
        <v>1.68</v>
      </c>
      <c r="K28" s="37">
        <v>1.68</v>
      </c>
      <c r="L28" s="38">
        <v>0.1</v>
      </c>
    </row>
    <row r="29">
      <c r="A29" s="36" t="s">
        <v>126</v>
      </c>
      <c r="B29" s="36" t="s">
        <v>161</v>
      </c>
      <c r="C29" s="37" t="s">
        <v>152</v>
      </c>
      <c r="D29" s="37">
        <v>50.0</v>
      </c>
      <c r="E29" s="37">
        <v>40.0</v>
      </c>
      <c r="F29" s="37">
        <v>20.0</v>
      </c>
      <c r="G29" s="37">
        <v>40000.0</v>
      </c>
      <c r="H29" s="39">
        <v>3.0</v>
      </c>
      <c r="I29" s="37">
        <v>5000.0</v>
      </c>
      <c r="J29" s="37">
        <v>8.0</v>
      </c>
      <c r="K29" s="37">
        <v>8.0</v>
      </c>
      <c r="L29" s="38">
        <v>0.2</v>
      </c>
    </row>
    <row r="30">
      <c r="A30" s="36" t="s">
        <v>126</v>
      </c>
      <c r="B30" s="36" t="s">
        <v>162</v>
      </c>
      <c r="C30" s="37" t="s">
        <v>152</v>
      </c>
      <c r="D30" s="37">
        <v>50.0</v>
      </c>
      <c r="E30" s="37">
        <v>40.0</v>
      </c>
      <c r="F30" s="37">
        <v>15.0</v>
      </c>
      <c r="G30" s="37">
        <v>30000.0</v>
      </c>
      <c r="H30" s="39">
        <v>2.0</v>
      </c>
      <c r="I30" s="37">
        <v>5000.0</v>
      </c>
      <c r="J30" s="37">
        <v>6.0</v>
      </c>
      <c r="K30" s="37">
        <v>6.0</v>
      </c>
      <c r="L30" s="38">
        <v>0.15</v>
      </c>
    </row>
    <row r="31">
      <c r="A31" s="36" t="s">
        <v>126</v>
      </c>
      <c r="B31" s="36" t="s">
        <v>163</v>
      </c>
      <c r="C31" s="37"/>
      <c r="D31" s="37">
        <v>30.0</v>
      </c>
      <c r="E31" s="37">
        <v>20.0</v>
      </c>
      <c r="F31" s="37">
        <v>4.0</v>
      </c>
      <c r="G31" s="37">
        <v>2400.0</v>
      </c>
      <c r="H31" s="37">
        <v>0.35</v>
      </c>
      <c r="I31" s="37">
        <v>5000.0</v>
      </c>
      <c r="J31" s="37">
        <v>0.48</v>
      </c>
      <c r="K31" s="37">
        <v>0.48</v>
      </c>
      <c r="L31" s="38">
        <v>0.05</v>
      </c>
    </row>
    <row r="32">
      <c r="A32" s="36" t="s">
        <v>126</v>
      </c>
      <c r="B32" s="36" t="s">
        <v>164</v>
      </c>
      <c r="C32" s="37"/>
      <c r="D32" s="37">
        <v>15.0</v>
      </c>
      <c r="E32" s="37">
        <v>10.0</v>
      </c>
      <c r="F32" s="37">
        <v>2.0</v>
      </c>
      <c r="G32" s="37">
        <v>300.0</v>
      </c>
      <c r="H32" s="37">
        <v>0.1</v>
      </c>
      <c r="I32" s="37">
        <v>5000.0</v>
      </c>
      <c r="J32" s="37">
        <v>0.06</v>
      </c>
      <c r="K32" s="37">
        <v>0.1</v>
      </c>
      <c r="L32" s="38">
        <v>0.0</v>
      </c>
    </row>
    <row r="33">
      <c r="A33" s="36" t="s">
        <v>126</v>
      </c>
      <c r="B33" s="36" t="s">
        <v>165</v>
      </c>
      <c r="C33" s="37"/>
      <c r="D33" s="37">
        <v>25.0</v>
      </c>
      <c r="E33" s="37">
        <v>20.0</v>
      </c>
      <c r="F33" s="37">
        <v>4.0</v>
      </c>
      <c r="G33" s="37">
        <v>2000.0</v>
      </c>
      <c r="H33" s="37">
        <v>0.3</v>
      </c>
      <c r="I33" s="37">
        <v>5000.0</v>
      </c>
      <c r="J33" s="37">
        <v>0.4</v>
      </c>
      <c r="K33" s="37">
        <v>0.4</v>
      </c>
      <c r="L33" s="38">
        <v>0.05</v>
      </c>
    </row>
    <row r="34">
      <c r="A34" s="36" t="s">
        <v>126</v>
      </c>
      <c r="B34" s="36" t="s">
        <v>166</v>
      </c>
      <c r="C34" s="37"/>
      <c r="D34" s="37">
        <v>30.0</v>
      </c>
      <c r="E34" s="37">
        <v>25.0</v>
      </c>
      <c r="F34" s="37">
        <v>4.0</v>
      </c>
      <c r="G34" s="37">
        <v>3000.0</v>
      </c>
      <c r="H34" s="37">
        <v>0.35</v>
      </c>
      <c r="I34" s="37">
        <v>5000.0</v>
      </c>
      <c r="J34" s="37">
        <v>0.6</v>
      </c>
      <c r="K34" s="37">
        <v>0.6</v>
      </c>
      <c r="L34" s="38">
        <v>0.05</v>
      </c>
    </row>
    <row r="35">
      <c r="A35" s="36" t="s">
        <v>126</v>
      </c>
      <c r="B35" s="36" t="s">
        <v>167</v>
      </c>
      <c r="C35" s="37"/>
      <c r="D35" s="37">
        <v>40.0</v>
      </c>
      <c r="E35" s="37">
        <v>30.0</v>
      </c>
      <c r="F35" s="37">
        <v>10.0</v>
      </c>
      <c r="G35" s="37">
        <v>12000.0</v>
      </c>
      <c r="H35" s="37">
        <v>0.8</v>
      </c>
      <c r="I35" s="37">
        <v>5000.0</v>
      </c>
      <c r="J35" s="37">
        <v>2.4</v>
      </c>
      <c r="K35" s="37">
        <v>2.4</v>
      </c>
      <c r="L35" s="38">
        <v>0.1</v>
      </c>
    </row>
    <row r="36">
      <c r="A36" s="36" t="s">
        <v>126</v>
      </c>
      <c r="B36" s="36" t="s">
        <v>168</v>
      </c>
      <c r="C36" s="37"/>
      <c r="D36" s="37">
        <v>25.0</v>
      </c>
      <c r="E36" s="37">
        <v>20.0</v>
      </c>
      <c r="F36" s="37">
        <v>2.0</v>
      </c>
      <c r="G36" s="37">
        <v>1000.0</v>
      </c>
      <c r="H36" s="37">
        <v>0.2</v>
      </c>
      <c r="I36" s="37">
        <v>5000.0</v>
      </c>
      <c r="J36" s="37">
        <v>0.2</v>
      </c>
      <c r="K36" s="37">
        <v>0.2</v>
      </c>
      <c r="L36" s="38">
        <v>0.05</v>
      </c>
    </row>
    <row r="37">
      <c r="A37" s="36" t="s">
        <v>126</v>
      </c>
      <c r="B37" s="36" t="s">
        <v>169</v>
      </c>
      <c r="C37" s="37"/>
      <c r="D37" s="37">
        <v>20.0</v>
      </c>
      <c r="E37" s="37">
        <v>15.0</v>
      </c>
      <c r="F37" s="37">
        <v>3.0</v>
      </c>
      <c r="G37" s="37">
        <v>900.0</v>
      </c>
      <c r="H37" s="37">
        <v>0.15</v>
      </c>
      <c r="I37" s="37">
        <v>5000.0</v>
      </c>
      <c r="J37" s="37">
        <v>0.18</v>
      </c>
      <c r="K37" s="37">
        <v>0.18</v>
      </c>
      <c r="L37" s="38">
        <v>0.05</v>
      </c>
    </row>
    <row r="38">
      <c r="A38" s="36" t="s">
        <v>126</v>
      </c>
      <c r="B38" s="36" t="s">
        <v>170</v>
      </c>
      <c r="C38" s="37"/>
      <c r="D38" s="37">
        <v>25.0</v>
      </c>
      <c r="E38" s="37">
        <v>20.0</v>
      </c>
      <c r="F38" s="37">
        <v>3.0</v>
      </c>
      <c r="G38" s="37">
        <v>1500.0</v>
      </c>
      <c r="H38" s="37">
        <v>0.25</v>
      </c>
      <c r="I38" s="37">
        <v>5000.0</v>
      </c>
      <c r="J38" s="37">
        <v>0.3</v>
      </c>
      <c r="K38" s="37">
        <v>0.3</v>
      </c>
      <c r="L38" s="38">
        <v>0.05</v>
      </c>
    </row>
    <row r="39">
      <c r="A39" s="36" t="s">
        <v>126</v>
      </c>
      <c r="B39" s="36" t="s">
        <v>171</v>
      </c>
      <c r="C39" s="37"/>
      <c r="D39" s="37">
        <v>20.0</v>
      </c>
      <c r="E39" s="37">
        <v>15.0</v>
      </c>
      <c r="F39" s="37">
        <v>2.0</v>
      </c>
      <c r="G39" s="37">
        <v>600.0</v>
      </c>
      <c r="H39" s="37">
        <v>0.15</v>
      </c>
      <c r="I39" s="37">
        <v>5000.0</v>
      </c>
      <c r="J39" s="37">
        <v>0.12</v>
      </c>
      <c r="K39" s="37">
        <v>0.15</v>
      </c>
      <c r="L39" s="38">
        <v>0.05</v>
      </c>
    </row>
    <row r="40">
      <c r="A40" s="36" t="s">
        <v>126</v>
      </c>
      <c r="B40" s="36" t="s">
        <v>172</v>
      </c>
      <c r="C40" s="37"/>
      <c r="D40" s="37">
        <v>35.0</v>
      </c>
      <c r="E40" s="37">
        <v>25.0</v>
      </c>
      <c r="F40" s="37">
        <v>8.0</v>
      </c>
      <c r="G40" s="37">
        <v>7000.0</v>
      </c>
      <c r="H40" s="37">
        <v>0.7</v>
      </c>
      <c r="I40" s="37">
        <v>5000.0</v>
      </c>
      <c r="J40" s="37">
        <v>1.4</v>
      </c>
      <c r="K40" s="37">
        <v>1.4</v>
      </c>
      <c r="L40" s="38">
        <v>0.1</v>
      </c>
    </row>
    <row r="41">
      <c r="A41" s="36" t="s">
        <v>126</v>
      </c>
      <c r="B41" s="36" t="s">
        <v>173</v>
      </c>
      <c r="C41" s="37"/>
      <c r="D41" s="37">
        <v>15.0</v>
      </c>
      <c r="E41" s="37">
        <v>10.0</v>
      </c>
      <c r="F41" s="37">
        <v>2.0</v>
      </c>
      <c r="G41" s="37">
        <v>300.0</v>
      </c>
      <c r="H41" s="37">
        <v>0.05</v>
      </c>
      <c r="I41" s="37">
        <v>5000.0</v>
      </c>
      <c r="J41" s="37">
        <v>0.06</v>
      </c>
      <c r="K41" s="37">
        <v>0.06</v>
      </c>
      <c r="L41" s="38">
        <v>0.0</v>
      </c>
    </row>
    <row r="42">
      <c r="A42" s="36" t="s">
        <v>126</v>
      </c>
      <c r="B42" s="36" t="s">
        <v>174</v>
      </c>
      <c r="C42" s="37"/>
      <c r="D42" s="37">
        <v>20.0</v>
      </c>
      <c r="E42" s="37">
        <v>15.0</v>
      </c>
      <c r="F42" s="37">
        <v>3.0</v>
      </c>
      <c r="G42" s="37">
        <v>900.0</v>
      </c>
      <c r="H42" s="37">
        <v>0.15</v>
      </c>
      <c r="I42" s="37">
        <v>5000.0</v>
      </c>
      <c r="J42" s="37">
        <v>0.18</v>
      </c>
      <c r="K42" s="37">
        <v>0.18</v>
      </c>
      <c r="L42" s="38">
        <v>0.05</v>
      </c>
    </row>
    <row r="43">
      <c r="A43" s="36" t="s">
        <v>126</v>
      </c>
      <c r="B43" s="36" t="s">
        <v>175</v>
      </c>
      <c r="C43" s="37"/>
      <c r="D43" s="37">
        <v>15.0</v>
      </c>
      <c r="E43" s="37">
        <v>10.0</v>
      </c>
      <c r="F43" s="37">
        <v>2.0</v>
      </c>
      <c r="G43" s="37">
        <v>300.0</v>
      </c>
      <c r="H43" s="37">
        <v>0.1</v>
      </c>
      <c r="I43" s="37">
        <v>5000.0</v>
      </c>
      <c r="J43" s="37">
        <v>0.06</v>
      </c>
      <c r="K43" s="37">
        <v>0.1</v>
      </c>
      <c r="L43" s="38">
        <v>0.0</v>
      </c>
    </row>
    <row r="44">
      <c r="A44" s="36" t="s">
        <v>126</v>
      </c>
      <c r="B44" s="36" t="s">
        <v>176</v>
      </c>
      <c r="C44" s="37"/>
      <c r="D44" s="37">
        <v>15.0</v>
      </c>
      <c r="E44" s="37">
        <v>15.0</v>
      </c>
      <c r="F44" s="37">
        <v>5.0</v>
      </c>
      <c r="G44" s="37">
        <v>1125.0</v>
      </c>
      <c r="H44" s="37">
        <v>0.2</v>
      </c>
      <c r="I44" s="37">
        <v>5000.0</v>
      </c>
      <c r="J44" s="37">
        <v>0.225</v>
      </c>
      <c r="K44" s="37">
        <v>0.225</v>
      </c>
      <c r="L44" s="38">
        <v>0.05</v>
      </c>
    </row>
    <row r="45">
      <c r="A45" s="36" t="s">
        <v>126</v>
      </c>
      <c r="B45" s="36" t="s">
        <v>177</v>
      </c>
      <c r="C45" s="37"/>
      <c r="D45" s="37">
        <v>25.0</v>
      </c>
      <c r="E45" s="37">
        <v>20.0</v>
      </c>
      <c r="F45" s="37">
        <v>10.0</v>
      </c>
      <c r="G45" s="37">
        <v>5000.0</v>
      </c>
      <c r="H45" s="37">
        <v>0.15</v>
      </c>
      <c r="I45" s="37">
        <v>5000.0</v>
      </c>
      <c r="J45" s="37">
        <v>1.0</v>
      </c>
      <c r="K45" s="37">
        <v>1.0</v>
      </c>
      <c r="L45" s="38">
        <v>0.1</v>
      </c>
    </row>
    <row r="46">
      <c r="A46" s="36" t="s">
        <v>126</v>
      </c>
      <c r="B46" s="36" t="s">
        <v>178</v>
      </c>
      <c r="C46" s="37"/>
      <c r="D46" s="37">
        <v>15.0</v>
      </c>
      <c r="E46" s="37">
        <v>10.0</v>
      </c>
      <c r="F46" s="37">
        <v>3.0</v>
      </c>
      <c r="G46" s="37">
        <v>450.0</v>
      </c>
      <c r="H46" s="37">
        <v>0.1</v>
      </c>
      <c r="I46" s="37">
        <v>5000.0</v>
      </c>
      <c r="J46" s="37">
        <v>0.09</v>
      </c>
      <c r="K46" s="37">
        <v>0.1</v>
      </c>
      <c r="L46" s="38">
        <v>0.05</v>
      </c>
    </row>
    <row r="47">
      <c r="A47" s="36" t="s">
        <v>126</v>
      </c>
      <c r="B47" s="36" t="s">
        <v>179</v>
      </c>
      <c r="C47" s="37"/>
      <c r="D47" s="37">
        <v>30.0</v>
      </c>
      <c r="E47" s="37">
        <v>25.0</v>
      </c>
      <c r="F47" s="37">
        <v>5.0</v>
      </c>
      <c r="G47" s="37">
        <v>3750.0</v>
      </c>
      <c r="H47" s="37">
        <v>0.3</v>
      </c>
      <c r="I47" s="37">
        <v>5000.0</v>
      </c>
      <c r="J47" s="37">
        <v>0.75</v>
      </c>
      <c r="K47" s="37">
        <v>0.75</v>
      </c>
      <c r="L47" s="38">
        <v>0.05</v>
      </c>
    </row>
    <row r="48">
      <c r="A48" s="36" t="s">
        <v>180</v>
      </c>
      <c r="B48" s="36" t="s">
        <v>181</v>
      </c>
      <c r="C48" s="37"/>
      <c r="D48" s="37">
        <v>15.0</v>
      </c>
      <c r="E48" s="37">
        <v>15.0</v>
      </c>
      <c r="F48" s="37">
        <v>5.0</v>
      </c>
      <c r="G48" s="37">
        <v>1125.0</v>
      </c>
      <c r="H48" s="37">
        <v>0.2</v>
      </c>
      <c r="I48" s="37">
        <v>5000.0</v>
      </c>
      <c r="J48" s="37">
        <v>0.225</v>
      </c>
      <c r="K48" s="37">
        <v>0.225</v>
      </c>
      <c r="L48" s="38">
        <v>0.1</v>
      </c>
    </row>
    <row r="49">
      <c r="A49" s="36" t="s">
        <v>180</v>
      </c>
      <c r="B49" s="36" t="s">
        <v>182</v>
      </c>
      <c r="C49" s="37"/>
      <c r="D49" s="37">
        <v>10.0</v>
      </c>
      <c r="E49" s="37">
        <v>10.0</v>
      </c>
      <c r="F49" s="37">
        <v>3.0</v>
      </c>
      <c r="G49" s="37">
        <v>300.0</v>
      </c>
      <c r="H49" s="37">
        <v>0.1</v>
      </c>
      <c r="I49" s="37">
        <v>5000.0</v>
      </c>
      <c r="J49" s="37">
        <v>0.06</v>
      </c>
      <c r="K49" s="37">
        <v>0.1</v>
      </c>
      <c r="L49" s="38">
        <v>0.1</v>
      </c>
    </row>
    <row r="50">
      <c r="A50" s="36" t="s">
        <v>180</v>
      </c>
      <c r="B50" s="36" t="s">
        <v>183</v>
      </c>
      <c r="C50" s="37"/>
      <c r="D50" s="37">
        <v>10.0</v>
      </c>
      <c r="E50" s="37">
        <v>10.0</v>
      </c>
      <c r="F50" s="37">
        <v>3.0</v>
      </c>
      <c r="G50" s="37">
        <v>300.0</v>
      </c>
      <c r="H50" s="37">
        <v>0.1</v>
      </c>
      <c r="I50" s="37">
        <v>5000.0</v>
      </c>
      <c r="J50" s="37">
        <v>0.06</v>
      </c>
      <c r="K50" s="37">
        <v>0.1</v>
      </c>
      <c r="L50" s="38">
        <v>0.1</v>
      </c>
    </row>
    <row r="51">
      <c r="A51" s="36" t="s">
        <v>180</v>
      </c>
      <c r="B51" s="36" t="s">
        <v>184</v>
      </c>
      <c r="C51" s="37"/>
      <c r="D51" s="37">
        <v>15.0</v>
      </c>
      <c r="E51" s="37">
        <v>15.0</v>
      </c>
      <c r="F51" s="37">
        <v>5.0</v>
      </c>
      <c r="G51" s="37">
        <v>1125.0</v>
      </c>
      <c r="H51" s="37">
        <v>0.15</v>
      </c>
      <c r="I51" s="37">
        <v>5000.0</v>
      </c>
      <c r="J51" s="37">
        <v>0.225</v>
      </c>
      <c r="K51" s="37">
        <v>0.225</v>
      </c>
      <c r="L51" s="38">
        <v>0.1</v>
      </c>
    </row>
    <row r="52">
      <c r="A52" s="36" t="s">
        <v>180</v>
      </c>
      <c r="B52" s="36" t="s">
        <v>185</v>
      </c>
      <c r="C52" s="37"/>
      <c r="D52" s="37">
        <v>10.0</v>
      </c>
      <c r="E52" s="37">
        <v>10.0</v>
      </c>
      <c r="F52" s="37">
        <v>3.0</v>
      </c>
      <c r="G52" s="37">
        <v>300.0</v>
      </c>
      <c r="H52" s="37">
        <v>0.1</v>
      </c>
      <c r="I52" s="37">
        <v>5000.0</v>
      </c>
      <c r="J52" s="37">
        <v>0.06</v>
      </c>
      <c r="K52" s="37">
        <v>0.1</v>
      </c>
      <c r="L52" s="38">
        <v>0.1</v>
      </c>
    </row>
    <row r="53">
      <c r="A53" s="36" t="s">
        <v>180</v>
      </c>
      <c r="B53" s="36" t="s">
        <v>186</v>
      </c>
      <c r="C53" s="37"/>
      <c r="D53" s="37">
        <v>8.0</v>
      </c>
      <c r="E53" s="37">
        <v>8.0</v>
      </c>
      <c r="F53" s="37">
        <v>3.0</v>
      </c>
      <c r="G53" s="37">
        <v>192.0</v>
      </c>
      <c r="H53" s="37">
        <v>0.05</v>
      </c>
      <c r="I53" s="37">
        <v>5000.0</v>
      </c>
      <c r="J53" s="37">
        <v>0.0384</v>
      </c>
      <c r="K53" s="37">
        <v>0.05</v>
      </c>
      <c r="L53" s="38">
        <v>0.1</v>
      </c>
    </row>
    <row r="54">
      <c r="A54" s="36" t="s">
        <v>180</v>
      </c>
      <c r="B54" s="36" t="s">
        <v>187</v>
      </c>
      <c r="C54" s="37"/>
      <c r="D54" s="37">
        <v>10.0</v>
      </c>
      <c r="E54" s="37">
        <v>10.0</v>
      </c>
      <c r="F54" s="37">
        <v>3.0</v>
      </c>
      <c r="G54" s="37">
        <v>300.0</v>
      </c>
      <c r="H54" s="37">
        <v>0.05</v>
      </c>
      <c r="I54" s="37">
        <v>5000.0</v>
      </c>
      <c r="J54" s="37">
        <v>0.06</v>
      </c>
      <c r="K54" s="37">
        <v>0.06</v>
      </c>
      <c r="L54" s="38">
        <v>0.1</v>
      </c>
    </row>
    <row r="55">
      <c r="A55" s="36" t="s">
        <v>180</v>
      </c>
      <c r="B55" s="36" t="s">
        <v>188</v>
      </c>
      <c r="C55" s="37"/>
      <c r="D55" s="37">
        <v>12.0</v>
      </c>
      <c r="E55" s="37">
        <v>12.0</v>
      </c>
      <c r="F55" s="37">
        <v>5.0</v>
      </c>
      <c r="G55" s="37">
        <v>720.0</v>
      </c>
      <c r="H55" s="37">
        <v>0.15</v>
      </c>
      <c r="I55" s="37">
        <v>5000.0</v>
      </c>
      <c r="J55" s="37">
        <v>0.144</v>
      </c>
      <c r="K55" s="37">
        <v>0.15</v>
      </c>
      <c r="L55" s="38">
        <v>0.1</v>
      </c>
    </row>
    <row r="56">
      <c r="A56" s="36" t="s">
        <v>180</v>
      </c>
      <c r="B56" s="36" t="s">
        <v>189</v>
      </c>
      <c r="C56" s="37"/>
      <c r="D56" s="37">
        <v>8.0</v>
      </c>
      <c r="E56" s="37">
        <v>8.0</v>
      </c>
      <c r="F56" s="37">
        <v>3.0</v>
      </c>
      <c r="G56" s="37">
        <v>192.0</v>
      </c>
      <c r="H56" s="37">
        <v>0.05</v>
      </c>
      <c r="I56" s="37">
        <v>5000.0</v>
      </c>
      <c r="J56" s="37">
        <v>0.0384</v>
      </c>
      <c r="K56" s="37">
        <v>0.05</v>
      </c>
      <c r="L56" s="38">
        <v>0.1</v>
      </c>
    </row>
    <row r="57">
      <c r="A57" s="36" t="s">
        <v>180</v>
      </c>
      <c r="B57" s="36" t="s">
        <v>190</v>
      </c>
      <c r="C57" s="37"/>
      <c r="D57" s="37">
        <v>8.0</v>
      </c>
      <c r="E57" s="37">
        <v>8.0</v>
      </c>
      <c r="F57" s="37">
        <v>4.0</v>
      </c>
      <c r="G57" s="37">
        <v>256.0</v>
      </c>
      <c r="H57" s="37">
        <v>0.05</v>
      </c>
      <c r="I57" s="37">
        <v>5000.0</v>
      </c>
      <c r="J57" s="37">
        <v>0.0512</v>
      </c>
      <c r="K57" s="37">
        <v>0.0512</v>
      </c>
      <c r="L57" s="38">
        <v>0.1</v>
      </c>
    </row>
    <row r="58">
      <c r="A58" s="36" t="s">
        <v>180</v>
      </c>
      <c r="B58" s="36" t="s">
        <v>191</v>
      </c>
      <c r="C58" s="37"/>
      <c r="D58" s="37">
        <v>12.0</v>
      </c>
      <c r="E58" s="37">
        <v>12.0</v>
      </c>
      <c r="F58" s="37">
        <v>4.0</v>
      </c>
      <c r="G58" s="37">
        <v>576.0</v>
      </c>
      <c r="H58" s="37">
        <v>0.1</v>
      </c>
      <c r="I58" s="37">
        <v>5000.0</v>
      </c>
      <c r="J58" s="37">
        <v>0.1152</v>
      </c>
      <c r="K58" s="37">
        <v>0.1152</v>
      </c>
      <c r="L58" s="38">
        <v>0.1</v>
      </c>
    </row>
    <row r="59">
      <c r="A59" s="36" t="s">
        <v>180</v>
      </c>
      <c r="B59" s="36" t="s">
        <v>192</v>
      </c>
      <c r="C59" s="37"/>
      <c r="D59" s="37">
        <v>15.0</v>
      </c>
      <c r="E59" s="37">
        <v>15.0</v>
      </c>
      <c r="F59" s="37">
        <v>8.0</v>
      </c>
      <c r="G59" s="37">
        <v>1800.0</v>
      </c>
      <c r="H59" s="37">
        <v>0.3</v>
      </c>
      <c r="I59" s="37">
        <v>5000.0</v>
      </c>
      <c r="J59" s="37">
        <v>0.36</v>
      </c>
      <c r="K59" s="37">
        <v>0.36</v>
      </c>
      <c r="L59" s="38">
        <v>0.15</v>
      </c>
    </row>
    <row r="60">
      <c r="A60" s="36" t="s">
        <v>180</v>
      </c>
      <c r="B60" s="36" t="s">
        <v>193</v>
      </c>
      <c r="C60" s="37"/>
      <c r="D60" s="37">
        <v>8.0</v>
      </c>
      <c r="E60" s="37">
        <v>8.0</v>
      </c>
      <c r="F60" s="37">
        <v>4.0</v>
      </c>
      <c r="G60" s="37">
        <v>256.0</v>
      </c>
      <c r="H60" s="37">
        <v>0.1</v>
      </c>
      <c r="I60" s="37">
        <v>5000.0</v>
      </c>
      <c r="J60" s="37">
        <v>0.0512</v>
      </c>
      <c r="K60" s="37">
        <v>0.1</v>
      </c>
      <c r="L60" s="38">
        <v>0.1</v>
      </c>
    </row>
    <row r="61">
      <c r="A61" s="36" t="s">
        <v>180</v>
      </c>
      <c r="B61" s="36" t="s">
        <v>194</v>
      </c>
      <c r="C61" s="37"/>
      <c r="D61" s="37">
        <v>12.0</v>
      </c>
      <c r="E61" s="37">
        <v>12.0</v>
      </c>
      <c r="F61" s="37">
        <v>8.0</v>
      </c>
      <c r="G61" s="37">
        <v>1152.0</v>
      </c>
      <c r="H61" s="37">
        <v>0.25</v>
      </c>
      <c r="I61" s="37">
        <v>5000.0</v>
      </c>
      <c r="J61" s="37">
        <v>0.2304</v>
      </c>
      <c r="K61" s="37">
        <v>0.25</v>
      </c>
      <c r="L61" s="38">
        <v>0.1</v>
      </c>
    </row>
    <row r="62">
      <c r="A62" s="36" t="s">
        <v>180</v>
      </c>
      <c r="B62" s="36" t="s">
        <v>195</v>
      </c>
      <c r="C62" s="37"/>
      <c r="D62" s="37">
        <v>12.0</v>
      </c>
      <c r="E62" s="37">
        <v>12.0</v>
      </c>
      <c r="F62" s="37">
        <v>4.0</v>
      </c>
      <c r="G62" s="37">
        <v>576.0</v>
      </c>
      <c r="H62" s="37">
        <v>0.1</v>
      </c>
      <c r="I62" s="37">
        <v>5000.0</v>
      </c>
      <c r="J62" s="37">
        <v>0.1152</v>
      </c>
      <c r="K62" s="37">
        <v>0.1152</v>
      </c>
      <c r="L62" s="38">
        <v>0.1</v>
      </c>
    </row>
    <row r="63">
      <c r="A63" s="36" t="s">
        <v>180</v>
      </c>
      <c r="B63" s="36" t="s">
        <v>196</v>
      </c>
      <c r="C63" s="37"/>
      <c r="D63" s="37">
        <v>8.0</v>
      </c>
      <c r="E63" s="37">
        <v>8.0</v>
      </c>
      <c r="F63" s="37">
        <v>3.0</v>
      </c>
      <c r="G63" s="37">
        <v>192.0</v>
      </c>
      <c r="H63" s="37">
        <v>0.05</v>
      </c>
      <c r="I63" s="37">
        <v>5000.0</v>
      </c>
      <c r="J63" s="37">
        <v>0.0384</v>
      </c>
      <c r="K63" s="37">
        <v>0.05</v>
      </c>
      <c r="L63" s="38">
        <v>0.1</v>
      </c>
    </row>
    <row r="64">
      <c r="A64" s="36" t="s">
        <v>180</v>
      </c>
      <c r="B64" s="36" t="s">
        <v>197</v>
      </c>
      <c r="C64" s="37"/>
      <c r="D64" s="37">
        <v>20.0</v>
      </c>
      <c r="E64" s="37">
        <v>20.0</v>
      </c>
      <c r="F64" s="37">
        <v>10.0</v>
      </c>
      <c r="G64" s="37">
        <v>4000.0</v>
      </c>
      <c r="H64" s="37">
        <v>0.3</v>
      </c>
      <c r="I64" s="37">
        <v>5000.0</v>
      </c>
      <c r="J64" s="37">
        <v>0.8</v>
      </c>
      <c r="K64" s="37">
        <v>0.8</v>
      </c>
      <c r="L64" s="38">
        <v>0.15</v>
      </c>
    </row>
    <row r="65">
      <c r="A65" s="36" t="s">
        <v>180</v>
      </c>
      <c r="B65" s="36" t="s">
        <v>198</v>
      </c>
      <c r="C65" s="37"/>
      <c r="D65" s="37">
        <v>10.0</v>
      </c>
      <c r="E65" s="37">
        <v>10.0</v>
      </c>
      <c r="F65" s="37">
        <v>3.0</v>
      </c>
      <c r="G65" s="37">
        <v>300.0</v>
      </c>
      <c r="H65" s="37">
        <v>0.05</v>
      </c>
      <c r="I65" s="37">
        <v>5000.0</v>
      </c>
      <c r="J65" s="37">
        <v>0.06</v>
      </c>
      <c r="K65" s="37">
        <v>0.06</v>
      </c>
      <c r="L65" s="38">
        <v>0.1</v>
      </c>
    </row>
    <row r="66">
      <c r="A66" s="36" t="s">
        <v>180</v>
      </c>
      <c r="B66" s="36" t="s">
        <v>199</v>
      </c>
      <c r="C66" s="37"/>
      <c r="D66" s="37">
        <v>12.0</v>
      </c>
      <c r="E66" s="37">
        <v>12.0</v>
      </c>
      <c r="F66" s="37">
        <v>4.0</v>
      </c>
      <c r="G66" s="37">
        <v>576.0</v>
      </c>
      <c r="H66" s="37">
        <v>0.1</v>
      </c>
      <c r="I66" s="37">
        <v>5000.0</v>
      </c>
      <c r="J66" s="37">
        <v>0.1152</v>
      </c>
      <c r="K66" s="37">
        <v>0.1152</v>
      </c>
      <c r="L66" s="38">
        <v>0.1</v>
      </c>
    </row>
    <row r="67">
      <c r="A67" s="36" t="s">
        <v>180</v>
      </c>
      <c r="B67" s="36" t="s">
        <v>200</v>
      </c>
      <c r="C67" s="37"/>
      <c r="D67" s="37">
        <v>25.0</v>
      </c>
      <c r="E67" s="37">
        <v>25.0</v>
      </c>
      <c r="F67" s="37">
        <v>15.0</v>
      </c>
      <c r="G67" s="37">
        <v>9375.0</v>
      </c>
      <c r="H67" s="37">
        <v>0.5</v>
      </c>
      <c r="I67" s="37">
        <v>5000.0</v>
      </c>
      <c r="J67" s="37">
        <v>1.875</v>
      </c>
      <c r="K67" s="37">
        <v>1.875</v>
      </c>
      <c r="L67" s="38">
        <v>0.15</v>
      </c>
    </row>
    <row r="68">
      <c r="A68" s="36" t="s">
        <v>180</v>
      </c>
      <c r="B68" s="36" t="s">
        <v>201</v>
      </c>
      <c r="C68" s="37"/>
      <c r="D68" s="37">
        <v>15.0</v>
      </c>
      <c r="E68" s="37">
        <v>15.0</v>
      </c>
      <c r="F68" s="37">
        <v>20.0</v>
      </c>
      <c r="G68" s="37">
        <v>4500.0</v>
      </c>
      <c r="H68" s="37">
        <v>1.0</v>
      </c>
      <c r="I68" s="37">
        <v>5000.0</v>
      </c>
      <c r="J68" s="37">
        <v>0.9</v>
      </c>
      <c r="K68" s="37">
        <v>1.0</v>
      </c>
      <c r="L68" s="38">
        <v>0.2</v>
      </c>
    </row>
    <row r="69">
      <c r="A69" s="36" t="s">
        <v>180</v>
      </c>
      <c r="B69" s="36" t="s">
        <v>202</v>
      </c>
      <c r="C69" s="37"/>
      <c r="D69" s="37">
        <v>10.0</v>
      </c>
      <c r="E69" s="37">
        <v>10.0</v>
      </c>
      <c r="F69" s="37">
        <v>3.0</v>
      </c>
      <c r="G69" s="37">
        <v>300.0</v>
      </c>
      <c r="H69" s="37">
        <v>0.1</v>
      </c>
      <c r="I69" s="37">
        <v>5000.0</v>
      </c>
      <c r="J69" s="37">
        <v>0.06</v>
      </c>
      <c r="K69" s="37">
        <v>0.1</v>
      </c>
      <c r="L69" s="38">
        <v>0.1</v>
      </c>
    </row>
    <row r="70">
      <c r="A70" s="36" t="s">
        <v>180</v>
      </c>
      <c r="B70" s="36" t="s">
        <v>203</v>
      </c>
      <c r="C70" s="37"/>
      <c r="D70" s="37">
        <v>10.0</v>
      </c>
      <c r="E70" s="37">
        <v>10.0</v>
      </c>
      <c r="F70" s="37">
        <v>5.0</v>
      </c>
      <c r="G70" s="37">
        <v>500.0</v>
      </c>
      <c r="H70" s="37">
        <v>0.1</v>
      </c>
      <c r="I70" s="37">
        <v>5000.0</v>
      </c>
      <c r="J70" s="37">
        <v>0.1</v>
      </c>
      <c r="K70" s="37">
        <v>0.1</v>
      </c>
      <c r="L70" s="38">
        <v>0.1</v>
      </c>
    </row>
    <row r="71">
      <c r="A71" s="36" t="s">
        <v>204</v>
      </c>
      <c r="B71" s="36" t="s">
        <v>205</v>
      </c>
      <c r="C71" s="37"/>
      <c r="D71" s="37">
        <v>25.0</v>
      </c>
      <c r="E71" s="37">
        <v>15.0</v>
      </c>
      <c r="F71" s="37">
        <v>1.0</v>
      </c>
      <c r="G71" s="37">
        <v>375.0</v>
      </c>
      <c r="H71" s="37">
        <v>0.05</v>
      </c>
      <c r="I71" s="37">
        <v>5000.0</v>
      </c>
      <c r="J71" s="37">
        <v>0.075</v>
      </c>
      <c r="K71" s="37">
        <v>0.075</v>
      </c>
      <c r="L71" s="38">
        <v>0.0</v>
      </c>
    </row>
    <row r="72">
      <c r="A72" s="36" t="s">
        <v>204</v>
      </c>
      <c r="B72" s="36" t="s">
        <v>206</v>
      </c>
      <c r="C72" s="37"/>
      <c r="D72" s="37">
        <v>20.0</v>
      </c>
      <c r="E72" s="37">
        <v>15.0</v>
      </c>
      <c r="F72" s="37">
        <v>1.0</v>
      </c>
      <c r="G72" s="37">
        <v>300.0</v>
      </c>
      <c r="H72" s="37">
        <v>0.05</v>
      </c>
      <c r="I72" s="37">
        <v>5000.0</v>
      </c>
      <c r="J72" s="37">
        <v>0.06</v>
      </c>
      <c r="K72" s="37">
        <v>0.06</v>
      </c>
      <c r="L72" s="38">
        <v>0.0</v>
      </c>
    </row>
    <row r="73">
      <c r="A73" s="36" t="s">
        <v>204</v>
      </c>
      <c r="B73" s="36" t="s">
        <v>207</v>
      </c>
      <c r="C73" s="37"/>
      <c r="D73" s="37">
        <v>15.0</v>
      </c>
      <c r="E73" s="37">
        <v>10.0</v>
      </c>
      <c r="F73" s="37">
        <v>1.0</v>
      </c>
      <c r="G73" s="37">
        <v>150.0</v>
      </c>
      <c r="H73" s="37">
        <v>0.02</v>
      </c>
      <c r="I73" s="37">
        <v>5000.0</v>
      </c>
      <c r="J73" s="37">
        <v>0.03</v>
      </c>
      <c r="K73" s="37">
        <v>0.03</v>
      </c>
      <c r="L73" s="38">
        <v>0.0</v>
      </c>
    </row>
    <row r="74">
      <c r="A74" s="36" t="s">
        <v>204</v>
      </c>
      <c r="B74" s="36" t="s">
        <v>208</v>
      </c>
      <c r="C74" s="37"/>
      <c r="D74" s="37">
        <v>32.0</v>
      </c>
      <c r="E74" s="37">
        <v>23.0</v>
      </c>
      <c r="F74" s="37">
        <v>1.0</v>
      </c>
      <c r="G74" s="37">
        <v>736.0</v>
      </c>
      <c r="H74" s="37">
        <v>0.05</v>
      </c>
      <c r="I74" s="37">
        <v>5000.0</v>
      </c>
      <c r="J74" s="37">
        <v>0.1472</v>
      </c>
      <c r="K74" s="37">
        <v>0.1472</v>
      </c>
      <c r="L74" s="38">
        <v>0.0</v>
      </c>
    </row>
    <row r="75">
      <c r="A75" s="36" t="s">
        <v>204</v>
      </c>
      <c r="B75" s="36" t="s">
        <v>209</v>
      </c>
      <c r="C75" s="37"/>
      <c r="D75" s="37">
        <v>15.0</v>
      </c>
      <c r="E75" s="37">
        <v>12.0</v>
      </c>
      <c r="F75" s="37">
        <v>2.0</v>
      </c>
      <c r="G75" s="37">
        <v>360.0</v>
      </c>
      <c r="H75" s="37">
        <v>0.1</v>
      </c>
      <c r="I75" s="37">
        <v>5000.0</v>
      </c>
      <c r="J75" s="37">
        <v>0.072</v>
      </c>
      <c r="K75" s="37">
        <v>0.1</v>
      </c>
      <c r="L75" s="38">
        <v>0.05</v>
      </c>
    </row>
    <row r="76">
      <c r="A76" s="36" t="s">
        <v>204</v>
      </c>
      <c r="B76" s="36" t="s">
        <v>210</v>
      </c>
      <c r="C76" s="37"/>
      <c r="D76" s="37">
        <v>32.0</v>
      </c>
      <c r="E76" s="37">
        <v>23.0</v>
      </c>
      <c r="F76" s="37">
        <v>1.0</v>
      </c>
      <c r="G76" s="37">
        <v>736.0</v>
      </c>
      <c r="H76" s="37">
        <v>0.05</v>
      </c>
      <c r="I76" s="37">
        <v>5000.0</v>
      </c>
      <c r="J76" s="37">
        <v>0.1472</v>
      </c>
      <c r="K76" s="37">
        <v>0.1472</v>
      </c>
      <c r="L76" s="38">
        <v>0.05</v>
      </c>
    </row>
    <row r="77">
      <c r="A77" s="36" t="s">
        <v>204</v>
      </c>
      <c r="B77" s="36" t="s">
        <v>211</v>
      </c>
      <c r="C77" s="37"/>
      <c r="D77" s="37">
        <v>15.0</v>
      </c>
      <c r="E77" s="37">
        <v>10.0</v>
      </c>
      <c r="F77" s="37">
        <v>1.0</v>
      </c>
      <c r="G77" s="37">
        <v>150.0</v>
      </c>
      <c r="H77" s="37">
        <v>0.05</v>
      </c>
      <c r="I77" s="37">
        <v>5000.0</v>
      </c>
      <c r="J77" s="37">
        <v>0.03</v>
      </c>
      <c r="K77" s="37">
        <v>0.05</v>
      </c>
      <c r="L77" s="38">
        <v>0.05</v>
      </c>
    </row>
    <row r="78">
      <c r="A78" s="36" t="s">
        <v>204</v>
      </c>
      <c r="B78" s="36" t="s">
        <v>212</v>
      </c>
      <c r="C78" s="37"/>
      <c r="D78" s="37">
        <v>15.0</v>
      </c>
      <c r="E78" s="37">
        <v>10.0</v>
      </c>
      <c r="F78" s="37">
        <v>1.0</v>
      </c>
      <c r="G78" s="37">
        <v>150.0</v>
      </c>
      <c r="H78" s="37">
        <v>0.05</v>
      </c>
      <c r="I78" s="37">
        <v>5000.0</v>
      </c>
      <c r="J78" s="37">
        <v>0.03</v>
      </c>
      <c r="K78" s="37">
        <v>0.05</v>
      </c>
      <c r="L78" s="38">
        <v>0.05</v>
      </c>
    </row>
    <row r="79">
      <c r="A79" s="36" t="s">
        <v>204</v>
      </c>
      <c r="B79" s="36" t="s">
        <v>213</v>
      </c>
      <c r="C79" s="37"/>
      <c r="D79" s="37">
        <v>15.0</v>
      </c>
      <c r="E79" s="37">
        <v>10.0</v>
      </c>
      <c r="F79" s="37">
        <v>1.0</v>
      </c>
      <c r="G79" s="37">
        <v>150.0</v>
      </c>
      <c r="H79" s="37">
        <v>0.05</v>
      </c>
      <c r="I79" s="37">
        <v>5000.0</v>
      </c>
      <c r="J79" s="37">
        <v>0.03</v>
      </c>
      <c r="K79" s="37">
        <v>0.05</v>
      </c>
      <c r="L79" s="38">
        <v>0.05</v>
      </c>
    </row>
    <row r="80">
      <c r="A80" s="36" t="s">
        <v>204</v>
      </c>
      <c r="B80" s="36" t="s">
        <v>214</v>
      </c>
      <c r="C80" s="37"/>
      <c r="D80" s="37">
        <v>35.0</v>
      </c>
      <c r="E80" s="37">
        <v>25.0</v>
      </c>
      <c r="F80" s="37">
        <v>3.0</v>
      </c>
      <c r="G80" s="37">
        <v>2625.0</v>
      </c>
      <c r="H80" s="37">
        <v>0.3</v>
      </c>
      <c r="I80" s="37">
        <v>5000.0</v>
      </c>
      <c r="J80" s="37">
        <v>0.525</v>
      </c>
      <c r="K80" s="37">
        <v>0.525</v>
      </c>
      <c r="L80" s="38">
        <v>0.05</v>
      </c>
    </row>
    <row r="81">
      <c r="A81" s="36" t="s">
        <v>204</v>
      </c>
      <c r="B81" s="36" t="s">
        <v>215</v>
      </c>
      <c r="C81" s="37"/>
      <c r="D81" s="37">
        <v>32.0</v>
      </c>
      <c r="E81" s="37">
        <v>23.0</v>
      </c>
      <c r="F81" s="37">
        <v>5.0</v>
      </c>
      <c r="G81" s="37">
        <v>3680.0</v>
      </c>
      <c r="H81" s="37">
        <v>0.5</v>
      </c>
      <c r="I81" s="37">
        <v>5000.0</v>
      </c>
      <c r="J81" s="37">
        <v>0.736</v>
      </c>
      <c r="K81" s="37">
        <v>0.736</v>
      </c>
      <c r="L81" s="38">
        <v>0.05</v>
      </c>
    </row>
    <row r="82">
      <c r="A82" s="36" t="s">
        <v>204</v>
      </c>
      <c r="B82" s="36" t="s">
        <v>216</v>
      </c>
      <c r="C82" s="37"/>
      <c r="D82" s="37">
        <v>60.0</v>
      </c>
      <c r="E82" s="37">
        <v>10.0</v>
      </c>
      <c r="F82" s="37">
        <v>10.0</v>
      </c>
      <c r="G82" s="37">
        <v>6000.0</v>
      </c>
      <c r="H82" s="37">
        <v>0.4</v>
      </c>
      <c r="I82" s="37">
        <v>5000.0</v>
      </c>
      <c r="J82" s="37">
        <v>1.2</v>
      </c>
      <c r="K82" s="37">
        <v>1.2</v>
      </c>
      <c r="L82" s="38">
        <v>0.1</v>
      </c>
    </row>
    <row r="83">
      <c r="A83" s="36" t="s">
        <v>204</v>
      </c>
      <c r="B83" s="36" t="s">
        <v>217</v>
      </c>
      <c r="C83" s="37"/>
      <c r="D83" s="37">
        <v>35.0</v>
      </c>
      <c r="E83" s="37">
        <v>25.0</v>
      </c>
      <c r="F83" s="37">
        <v>8.0</v>
      </c>
      <c r="G83" s="37">
        <v>7000.0</v>
      </c>
      <c r="H83" s="37">
        <v>1.0</v>
      </c>
      <c r="I83" s="37">
        <v>5000.0</v>
      </c>
      <c r="J83" s="37">
        <v>1.4</v>
      </c>
      <c r="K83" s="37">
        <v>1.4</v>
      </c>
      <c r="L83" s="38">
        <v>0.05</v>
      </c>
    </row>
    <row r="84">
      <c r="A84" s="36" t="s">
        <v>204</v>
      </c>
      <c r="B84" s="36" t="s">
        <v>218</v>
      </c>
      <c r="C84" s="37"/>
      <c r="D84" s="37">
        <v>20.0</v>
      </c>
      <c r="E84" s="37">
        <v>15.0</v>
      </c>
      <c r="F84" s="37">
        <v>3.0</v>
      </c>
      <c r="G84" s="37">
        <v>900.0</v>
      </c>
      <c r="H84" s="37">
        <v>0.4</v>
      </c>
      <c r="I84" s="37">
        <v>5000.0</v>
      </c>
      <c r="J84" s="37">
        <v>0.18</v>
      </c>
      <c r="K84" s="37">
        <v>0.4</v>
      </c>
      <c r="L84" s="38">
        <v>0.05</v>
      </c>
    </row>
    <row r="85">
      <c r="A85" s="36" t="s">
        <v>204</v>
      </c>
      <c r="B85" s="36" t="s">
        <v>219</v>
      </c>
      <c r="C85" s="37"/>
      <c r="D85" s="37">
        <v>25.0</v>
      </c>
      <c r="E85" s="37">
        <v>18.0</v>
      </c>
      <c r="F85" s="37">
        <v>5.0</v>
      </c>
      <c r="G85" s="37">
        <v>2250.0</v>
      </c>
      <c r="H85" s="37">
        <v>0.8</v>
      </c>
      <c r="I85" s="37">
        <v>5000.0</v>
      </c>
      <c r="J85" s="37">
        <v>0.45</v>
      </c>
      <c r="K85" s="37">
        <v>0.8</v>
      </c>
      <c r="L85" s="38">
        <v>0.1</v>
      </c>
    </row>
    <row r="86">
      <c r="A86" s="36" t="s">
        <v>204</v>
      </c>
      <c r="B86" s="36" t="s">
        <v>220</v>
      </c>
      <c r="C86" s="37"/>
      <c r="D86" s="37">
        <v>30.0</v>
      </c>
      <c r="E86" s="37">
        <v>22.0</v>
      </c>
      <c r="F86" s="37">
        <v>2.0</v>
      </c>
      <c r="G86" s="37">
        <v>1320.0</v>
      </c>
      <c r="H86" s="37">
        <v>0.3</v>
      </c>
      <c r="I86" s="37">
        <v>5000.0</v>
      </c>
      <c r="J86" s="37">
        <v>0.264</v>
      </c>
      <c r="K86" s="37">
        <v>0.3</v>
      </c>
      <c r="L86" s="38">
        <v>0.05</v>
      </c>
    </row>
    <row r="87">
      <c r="A87" s="36" t="s">
        <v>204</v>
      </c>
      <c r="B87" s="36" t="s">
        <v>221</v>
      </c>
      <c r="C87" s="37"/>
      <c r="D87" s="37">
        <v>30.0</v>
      </c>
      <c r="E87" s="37">
        <v>22.0</v>
      </c>
      <c r="F87" s="37">
        <v>3.0</v>
      </c>
      <c r="G87" s="37">
        <v>1980.0</v>
      </c>
      <c r="H87" s="37">
        <v>0.5</v>
      </c>
      <c r="I87" s="37">
        <v>5000.0</v>
      </c>
      <c r="J87" s="37">
        <v>0.396</v>
      </c>
      <c r="K87" s="37">
        <v>0.5</v>
      </c>
      <c r="L87" s="38">
        <v>0.05</v>
      </c>
    </row>
    <row r="88">
      <c r="A88" s="36" t="s">
        <v>204</v>
      </c>
      <c r="B88" s="36" t="s">
        <v>222</v>
      </c>
      <c r="C88" s="37"/>
      <c r="D88" s="37">
        <v>25.0</v>
      </c>
      <c r="E88" s="37">
        <v>20.0</v>
      </c>
      <c r="F88" s="37">
        <v>1.0</v>
      </c>
      <c r="G88" s="37">
        <v>500.0</v>
      </c>
      <c r="H88" s="37">
        <v>0.1</v>
      </c>
      <c r="I88" s="37">
        <v>5000.0</v>
      </c>
      <c r="J88" s="37">
        <v>0.1</v>
      </c>
      <c r="K88" s="37">
        <v>0.1</v>
      </c>
      <c r="L88" s="38">
        <v>0.0</v>
      </c>
    </row>
    <row r="89">
      <c r="A89" s="36" t="s">
        <v>204</v>
      </c>
      <c r="B89" s="36" t="s">
        <v>223</v>
      </c>
      <c r="C89" s="37"/>
      <c r="D89" s="37">
        <v>35.0</v>
      </c>
      <c r="E89" s="37">
        <v>25.0</v>
      </c>
      <c r="F89" s="37">
        <v>2.0</v>
      </c>
      <c r="G89" s="37">
        <v>1750.0</v>
      </c>
      <c r="H89" s="37">
        <v>0.2</v>
      </c>
      <c r="I89" s="37">
        <v>5000.0</v>
      </c>
      <c r="J89" s="37">
        <v>0.35</v>
      </c>
      <c r="K89" s="37">
        <v>0.35</v>
      </c>
      <c r="L89" s="38">
        <v>0.05</v>
      </c>
    </row>
    <row r="90">
      <c r="A90" s="36" t="s">
        <v>204</v>
      </c>
      <c r="B90" s="36" t="s">
        <v>224</v>
      </c>
      <c r="C90" s="37"/>
      <c r="D90" s="37">
        <v>22.0</v>
      </c>
      <c r="E90" s="37">
        <v>15.0</v>
      </c>
      <c r="F90" s="37">
        <v>3.0</v>
      </c>
      <c r="G90" s="37">
        <v>990.0</v>
      </c>
      <c r="H90" s="37">
        <v>0.3</v>
      </c>
      <c r="I90" s="37">
        <v>5000.0</v>
      </c>
      <c r="J90" s="37">
        <v>0.198</v>
      </c>
      <c r="K90" s="37">
        <v>0.3</v>
      </c>
      <c r="L90" s="38">
        <v>0.05</v>
      </c>
    </row>
    <row r="91">
      <c r="A91" s="36" t="s">
        <v>204</v>
      </c>
      <c r="B91" s="36" t="s">
        <v>225</v>
      </c>
      <c r="C91" s="37"/>
      <c r="D91" s="37">
        <v>25.0</v>
      </c>
      <c r="E91" s="37">
        <v>18.0</v>
      </c>
      <c r="F91" s="37">
        <v>4.0</v>
      </c>
      <c r="G91" s="37">
        <v>1800.0</v>
      </c>
      <c r="H91" s="37">
        <v>0.4</v>
      </c>
      <c r="I91" s="37">
        <v>5000.0</v>
      </c>
      <c r="J91" s="37">
        <v>0.36</v>
      </c>
      <c r="K91" s="37">
        <v>0.4</v>
      </c>
      <c r="L91" s="38">
        <v>0.05</v>
      </c>
    </row>
    <row r="92">
      <c r="A92" s="36" t="s">
        <v>204</v>
      </c>
      <c r="B92" s="36" t="s">
        <v>226</v>
      </c>
      <c r="C92" s="37"/>
      <c r="D92" s="37">
        <v>25.0</v>
      </c>
      <c r="E92" s="37">
        <v>20.0</v>
      </c>
      <c r="F92" s="37">
        <v>5.0</v>
      </c>
      <c r="G92" s="37">
        <v>2500.0</v>
      </c>
      <c r="H92" s="37">
        <v>0.3</v>
      </c>
      <c r="I92" s="37">
        <v>5000.0</v>
      </c>
      <c r="J92" s="37">
        <v>0.5</v>
      </c>
      <c r="K92" s="37">
        <v>0.5</v>
      </c>
      <c r="L92" s="38">
        <v>0.05</v>
      </c>
    </row>
    <row r="93">
      <c r="A93" s="36" t="s">
        <v>204</v>
      </c>
      <c r="B93" s="36" t="s">
        <v>227</v>
      </c>
      <c r="C93" s="37"/>
      <c r="D93" s="37">
        <v>40.0</v>
      </c>
      <c r="E93" s="37">
        <v>30.0</v>
      </c>
      <c r="F93" s="37">
        <v>2.0</v>
      </c>
      <c r="G93" s="37">
        <v>2400.0</v>
      </c>
      <c r="H93" s="37">
        <v>0.4</v>
      </c>
      <c r="I93" s="37">
        <v>5000.0</v>
      </c>
      <c r="J93" s="37">
        <v>0.48</v>
      </c>
      <c r="K93" s="37">
        <v>0.48</v>
      </c>
      <c r="L93" s="38">
        <v>0.05</v>
      </c>
    </row>
    <row r="94">
      <c r="A94" s="36" t="s">
        <v>204</v>
      </c>
      <c r="B94" s="36" t="s">
        <v>228</v>
      </c>
      <c r="C94" s="37"/>
      <c r="D94" s="37">
        <v>32.0</v>
      </c>
      <c r="E94" s="37">
        <v>28.0</v>
      </c>
      <c r="F94" s="37">
        <v>8.0</v>
      </c>
      <c r="G94" s="37">
        <v>7168.0</v>
      </c>
      <c r="H94" s="37">
        <v>0.6</v>
      </c>
      <c r="I94" s="37">
        <v>5000.0</v>
      </c>
      <c r="J94" s="37">
        <v>1.4336</v>
      </c>
      <c r="K94" s="37">
        <v>1.4336</v>
      </c>
      <c r="L94" s="38">
        <v>0.1</v>
      </c>
    </row>
    <row r="95">
      <c r="A95" s="36" t="s">
        <v>204</v>
      </c>
      <c r="B95" s="36" t="s">
        <v>229</v>
      </c>
      <c r="C95" s="37"/>
      <c r="D95" s="37">
        <v>25.0</v>
      </c>
      <c r="E95" s="37">
        <v>18.0</v>
      </c>
      <c r="F95" s="37">
        <v>2.0</v>
      </c>
      <c r="G95" s="37">
        <v>900.0</v>
      </c>
      <c r="H95" s="37">
        <v>0.25</v>
      </c>
      <c r="I95" s="37">
        <v>5000.0</v>
      </c>
      <c r="J95" s="37">
        <v>0.18</v>
      </c>
      <c r="K95" s="37">
        <v>0.25</v>
      </c>
      <c r="L95" s="38">
        <v>0.05</v>
      </c>
    </row>
    <row r="96">
      <c r="A96" s="36" t="s">
        <v>230</v>
      </c>
      <c r="B96" s="36" t="s">
        <v>231</v>
      </c>
      <c r="C96" s="37"/>
      <c r="D96" s="37">
        <v>60.0</v>
      </c>
      <c r="E96" s="37">
        <v>40.0</v>
      </c>
      <c r="F96" s="37">
        <v>5.0</v>
      </c>
      <c r="G96" s="37">
        <v>12000.0</v>
      </c>
      <c r="H96" s="37">
        <v>1.5</v>
      </c>
      <c r="I96" s="37">
        <v>5000.0</v>
      </c>
      <c r="J96" s="37">
        <v>2.4</v>
      </c>
      <c r="K96" s="37">
        <v>2.4</v>
      </c>
      <c r="L96" s="38">
        <v>0.15</v>
      </c>
    </row>
    <row r="97">
      <c r="A97" s="36" t="s">
        <v>230</v>
      </c>
      <c r="B97" s="36" t="s">
        <v>232</v>
      </c>
      <c r="C97" s="37"/>
      <c r="D97" s="37">
        <v>35.0</v>
      </c>
      <c r="E97" s="37">
        <v>25.0</v>
      </c>
      <c r="F97" s="37">
        <v>5.0</v>
      </c>
      <c r="G97" s="37">
        <v>4375.0</v>
      </c>
      <c r="H97" s="37">
        <v>0.8</v>
      </c>
      <c r="I97" s="37">
        <v>5000.0</v>
      </c>
      <c r="J97" s="37">
        <v>0.875</v>
      </c>
      <c r="K97" s="37">
        <v>0.875</v>
      </c>
      <c r="L97" s="38">
        <v>0.15</v>
      </c>
    </row>
    <row r="98">
      <c r="A98" s="36" t="s">
        <v>230</v>
      </c>
      <c r="B98" s="36" t="s">
        <v>233</v>
      </c>
      <c r="C98" s="37"/>
      <c r="D98" s="37">
        <v>60.0</v>
      </c>
      <c r="E98" s="37">
        <v>10.0</v>
      </c>
      <c r="F98" s="37">
        <v>10.0</v>
      </c>
      <c r="G98" s="37">
        <v>6000.0</v>
      </c>
      <c r="H98" s="37">
        <v>0.3</v>
      </c>
      <c r="I98" s="37">
        <v>5000.0</v>
      </c>
      <c r="J98" s="37">
        <v>1.2</v>
      </c>
      <c r="K98" s="37">
        <v>1.2</v>
      </c>
      <c r="L98" s="38">
        <v>0.1</v>
      </c>
    </row>
    <row r="99">
      <c r="A99" s="36" t="s">
        <v>230</v>
      </c>
      <c r="B99" s="36" t="s">
        <v>234</v>
      </c>
      <c r="C99" s="37"/>
      <c r="D99" s="37">
        <v>35.0</v>
      </c>
      <c r="E99" s="37">
        <v>35.0</v>
      </c>
      <c r="F99" s="37">
        <v>8.0</v>
      </c>
      <c r="G99" s="37">
        <v>9800.0</v>
      </c>
      <c r="H99" s="37">
        <v>1.0</v>
      </c>
      <c r="I99" s="37">
        <v>5000.0</v>
      </c>
      <c r="J99" s="37">
        <v>1.96</v>
      </c>
      <c r="K99" s="37">
        <v>1.96</v>
      </c>
      <c r="L99" s="38">
        <v>0.15</v>
      </c>
    </row>
    <row r="100">
      <c r="A100" s="36" t="s">
        <v>230</v>
      </c>
      <c r="B100" s="36" t="s">
        <v>235</v>
      </c>
      <c r="C100" s="37"/>
      <c r="D100" s="37">
        <v>60.0</v>
      </c>
      <c r="E100" s="37">
        <v>40.0</v>
      </c>
      <c r="F100" s="37">
        <v>10.0</v>
      </c>
      <c r="G100" s="37">
        <v>24000.0</v>
      </c>
      <c r="H100" s="37">
        <v>3.0</v>
      </c>
      <c r="I100" s="37">
        <v>5000.0</v>
      </c>
      <c r="J100" s="37">
        <v>4.8</v>
      </c>
      <c r="K100" s="37">
        <v>4.8</v>
      </c>
      <c r="L100" s="38">
        <v>0.25</v>
      </c>
    </row>
    <row r="101">
      <c r="A101" s="36" t="s">
        <v>230</v>
      </c>
      <c r="B101" s="36" t="s">
        <v>236</v>
      </c>
      <c r="C101" s="37"/>
      <c r="D101" s="37">
        <v>35.0</v>
      </c>
      <c r="E101" s="37">
        <v>30.0</v>
      </c>
      <c r="F101" s="37">
        <v>5.0</v>
      </c>
      <c r="G101" s="37">
        <v>5250.0</v>
      </c>
      <c r="H101" s="37">
        <v>0.6</v>
      </c>
      <c r="I101" s="37">
        <v>5000.0</v>
      </c>
      <c r="J101" s="37">
        <v>1.05</v>
      </c>
      <c r="K101" s="37">
        <v>1.05</v>
      </c>
      <c r="L101" s="38">
        <v>0.1</v>
      </c>
    </row>
    <row r="102">
      <c r="A102" s="36" t="s">
        <v>230</v>
      </c>
      <c r="B102" s="36" t="s">
        <v>237</v>
      </c>
      <c r="C102" s="37"/>
      <c r="D102" s="37">
        <v>30.0</v>
      </c>
      <c r="E102" s="37">
        <v>15.0</v>
      </c>
      <c r="F102" s="37">
        <v>5.0</v>
      </c>
      <c r="G102" s="37">
        <v>2250.0</v>
      </c>
      <c r="H102" s="37">
        <v>0.5</v>
      </c>
      <c r="I102" s="37">
        <v>5000.0</v>
      </c>
      <c r="J102" s="37">
        <v>0.45</v>
      </c>
      <c r="K102" s="37">
        <v>0.5</v>
      </c>
      <c r="L102" s="38">
        <v>0.1</v>
      </c>
    </row>
    <row r="103">
      <c r="A103" s="36" t="s">
        <v>230</v>
      </c>
      <c r="B103" s="36" t="s">
        <v>238</v>
      </c>
      <c r="C103" s="37"/>
      <c r="D103" s="37">
        <v>40.0</v>
      </c>
      <c r="E103" s="37">
        <v>25.0</v>
      </c>
      <c r="F103" s="37">
        <v>25.0</v>
      </c>
      <c r="G103" s="37">
        <v>25000.0</v>
      </c>
      <c r="H103" s="37">
        <v>1.5</v>
      </c>
      <c r="I103" s="37">
        <v>5000.0</v>
      </c>
      <c r="J103" s="37">
        <v>5.0</v>
      </c>
      <c r="K103" s="37">
        <v>5.0</v>
      </c>
      <c r="L103" s="38">
        <v>0.2</v>
      </c>
    </row>
    <row r="104">
      <c r="A104" s="36" t="s">
        <v>230</v>
      </c>
      <c r="B104" s="36" t="s">
        <v>239</v>
      </c>
      <c r="C104" s="37"/>
      <c r="D104" s="37">
        <v>100.0</v>
      </c>
      <c r="E104" s="37">
        <v>30.0</v>
      </c>
      <c r="F104" s="37">
        <v>30.0</v>
      </c>
      <c r="G104" s="37">
        <v>90000.0</v>
      </c>
      <c r="H104" s="37">
        <v>4.0</v>
      </c>
      <c r="I104" s="37">
        <v>5000.0</v>
      </c>
      <c r="J104" s="37">
        <v>18.0</v>
      </c>
      <c r="K104" s="37">
        <v>18.0</v>
      </c>
      <c r="L104" s="38">
        <v>0.2</v>
      </c>
    </row>
    <row r="105">
      <c r="A105" s="36" t="s">
        <v>230</v>
      </c>
      <c r="B105" s="36" t="s">
        <v>240</v>
      </c>
      <c r="C105" s="37"/>
      <c r="D105" s="37">
        <v>50.0</v>
      </c>
      <c r="E105" s="37">
        <v>50.0</v>
      </c>
      <c r="F105" s="37">
        <v>40.0</v>
      </c>
      <c r="G105" s="37">
        <v>100000.0</v>
      </c>
      <c r="H105" s="37">
        <v>5.0</v>
      </c>
      <c r="I105" s="37">
        <v>5000.0</v>
      </c>
      <c r="J105" s="37">
        <v>20.0</v>
      </c>
      <c r="K105" s="37">
        <v>20.0</v>
      </c>
      <c r="L105" s="38">
        <v>0.25</v>
      </c>
    </row>
    <row r="106">
      <c r="A106" s="36" t="s">
        <v>230</v>
      </c>
      <c r="B106" s="36" t="s">
        <v>241</v>
      </c>
      <c r="C106" s="37"/>
      <c r="D106" s="37">
        <v>30.0</v>
      </c>
      <c r="E106" s="37">
        <v>30.0</v>
      </c>
      <c r="F106" s="37">
        <v>25.0</v>
      </c>
      <c r="G106" s="37">
        <v>22500.0</v>
      </c>
      <c r="H106" s="37">
        <v>1.2</v>
      </c>
      <c r="I106" s="37">
        <v>5000.0</v>
      </c>
      <c r="J106" s="37">
        <v>4.5</v>
      </c>
      <c r="K106" s="37">
        <v>4.5</v>
      </c>
      <c r="L106" s="38">
        <v>0.15</v>
      </c>
    </row>
    <row r="107">
      <c r="A107" s="36" t="s">
        <v>230</v>
      </c>
      <c r="B107" s="36" t="s">
        <v>242</v>
      </c>
      <c r="C107" s="37"/>
      <c r="D107" s="37">
        <v>25.0</v>
      </c>
      <c r="E107" s="37">
        <v>15.0</v>
      </c>
      <c r="F107" s="37">
        <v>15.0</v>
      </c>
      <c r="G107" s="37">
        <v>5625.0</v>
      </c>
      <c r="H107" s="37">
        <v>0.8</v>
      </c>
      <c r="I107" s="37">
        <v>5000.0</v>
      </c>
      <c r="J107" s="37">
        <v>1.125</v>
      </c>
      <c r="K107" s="37">
        <v>1.125</v>
      </c>
      <c r="L107" s="38">
        <v>0.15</v>
      </c>
    </row>
    <row r="108">
      <c r="A108" s="36" t="s">
        <v>230</v>
      </c>
      <c r="B108" s="36" t="s">
        <v>243</v>
      </c>
      <c r="C108" s="37"/>
      <c r="D108" s="37">
        <v>15.0</v>
      </c>
      <c r="E108" s="37">
        <v>15.0</v>
      </c>
      <c r="F108" s="37">
        <v>8.0</v>
      </c>
      <c r="G108" s="37">
        <v>1800.0</v>
      </c>
      <c r="H108" s="37">
        <v>0.3</v>
      </c>
      <c r="I108" s="37">
        <v>5000.0</v>
      </c>
      <c r="J108" s="37">
        <v>0.36</v>
      </c>
      <c r="K108" s="37">
        <v>0.36</v>
      </c>
      <c r="L108" s="38">
        <v>0.1</v>
      </c>
    </row>
    <row r="109">
      <c r="A109" s="36" t="s">
        <v>230</v>
      </c>
      <c r="B109" s="36" t="s">
        <v>244</v>
      </c>
      <c r="C109" s="37"/>
      <c r="D109" s="37">
        <v>25.0</v>
      </c>
      <c r="E109" s="37">
        <v>15.0</v>
      </c>
      <c r="F109" s="37">
        <v>15.0</v>
      </c>
      <c r="G109" s="37">
        <v>5625.0</v>
      </c>
      <c r="H109" s="37">
        <v>0.8</v>
      </c>
      <c r="I109" s="37">
        <v>5000.0</v>
      </c>
      <c r="J109" s="37">
        <v>1.125</v>
      </c>
      <c r="K109" s="37">
        <v>1.125</v>
      </c>
      <c r="L109" s="38">
        <v>0.15</v>
      </c>
    </row>
    <row r="110">
      <c r="A110" s="36" t="s">
        <v>230</v>
      </c>
      <c r="B110" s="36" t="s">
        <v>245</v>
      </c>
      <c r="C110" s="37"/>
      <c r="D110" s="37">
        <v>45.0</v>
      </c>
      <c r="E110" s="37">
        <v>45.0</v>
      </c>
      <c r="F110" s="37">
        <v>15.0</v>
      </c>
      <c r="G110" s="37">
        <v>30375.0</v>
      </c>
      <c r="H110" s="37">
        <v>0.8</v>
      </c>
      <c r="I110" s="37">
        <v>5000.0</v>
      </c>
      <c r="J110" s="37">
        <v>6.075</v>
      </c>
      <c r="K110" s="37">
        <v>6.075</v>
      </c>
      <c r="L110" s="38">
        <v>0.1</v>
      </c>
    </row>
    <row r="111">
      <c r="A111" s="36" t="s">
        <v>230</v>
      </c>
      <c r="B111" s="36" t="s">
        <v>246</v>
      </c>
      <c r="C111" s="37"/>
      <c r="D111" s="37">
        <v>25.0</v>
      </c>
      <c r="E111" s="37">
        <v>20.0</v>
      </c>
      <c r="F111" s="37">
        <v>2.0</v>
      </c>
      <c r="G111" s="37">
        <v>1000.0</v>
      </c>
      <c r="H111" s="37">
        <v>0.2</v>
      </c>
      <c r="I111" s="37">
        <v>5000.0</v>
      </c>
      <c r="J111" s="37">
        <v>0.2</v>
      </c>
      <c r="K111" s="37">
        <v>0.2</v>
      </c>
      <c r="L111" s="38">
        <v>0.05</v>
      </c>
    </row>
    <row r="112">
      <c r="A112" s="36" t="s">
        <v>230</v>
      </c>
      <c r="B112" s="36" t="s">
        <v>247</v>
      </c>
      <c r="C112" s="37"/>
      <c r="D112" s="37">
        <v>150.0</v>
      </c>
      <c r="E112" s="37">
        <v>20.0</v>
      </c>
      <c r="F112" s="37">
        <v>20.0</v>
      </c>
      <c r="G112" s="37">
        <v>60000.0</v>
      </c>
      <c r="H112" s="37">
        <v>5.0</v>
      </c>
      <c r="I112" s="37">
        <v>5000.0</v>
      </c>
      <c r="J112" s="37">
        <v>12.0</v>
      </c>
      <c r="K112" s="37">
        <v>12.0</v>
      </c>
      <c r="L112" s="38">
        <v>0.15</v>
      </c>
    </row>
    <row r="113">
      <c r="A113" s="36" t="s">
        <v>230</v>
      </c>
      <c r="B113" s="36" t="s">
        <v>248</v>
      </c>
      <c r="C113" s="37"/>
      <c r="D113" s="37">
        <v>35.0</v>
      </c>
      <c r="E113" s="37">
        <v>30.0</v>
      </c>
      <c r="F113" s="37">
        <v>10.0</v>
      </c>
      <c r="G113" s="37">
        <v>10500.0</v>
      </c>
      <c r="H113" s="37">
        <v>1.2</v>
      </c>
      <c r="I113" s="37">
        <v>5000.0</v>
      </c>
      <c r="J113" s="37">
        <v>2.1</v>
      </c>
      <c r="K113" s="37">
        <v>2.1</v>
      </c>
      <c r="L113" s="38">
        <v>0.1</v>
      </c>
    </row>
    <row r="114">
      <c r="A114" s="36" t="s">
        <v>230</v>
      </c>
      <c r="B114" s="36" t="s">
        <v>249</v>
      </c>
      <c r="C114" s="37"/>
      <c r="D114" s="37">
        <v>40.0</v>
      </c>
      <c r="E114" s="37">
        <v>30.0</v>
      </c>
      <c r="F114" s="37">
        <v>15.0</v>
      </c>
      <c r="G114" s="37">
        <v>18000.0</v>
      </c>
      <c r="H114" s="37">
        <v>1.5</v>
      </c>
      <c r="I114" s="37">
        <v>5000.0</v>
      </c>
      <c r="J114" s="37">
        <v>3.6</v>
      </c>
      <c r="K114" s="37">
        <v>3.6</v>
      </c>
      <c r="L114" s="38">
        <v>0.1</v>
      </c>
    </row>
    <row r="115">
      <c r="A115" s="36" t="s">
        <v>230</v>
      </c>
      <c r="B115" s="36" t="s">
        <v>250</v>
      </c>
      <c r="C115" s="37"/>
      <c r="D115" s="37">
        <v>30.0</v>
      </c>
      <c r="E115" s="37">
        <v>25.0</v>
      </c>
      <c r="F115" s="37">
        <v>5.0</v>
      </c>
      <c r="G115" s="37">
        <v>3750.0</v>
      </c>
      <c r="H115" s="37">
        <v>0.4</v>
      </c>
      <c r="I115" s="37">
        <v>5000.0</v>
      </c>
      <c r="J115" s="37">
        <v>0.75</v>
      </c>
      <c r="K115" s="37">
        <v>0.75</v>
      </c>
      <c r="L115" s="38">
        <v>0.05</v>
      </c>
    </row>
    <row r="116">
      <c r="A116" s="36" t="s">
        <v>230</v>
      </c>
      <c r="B116" s="36" t="s">
        <v>251</v>
      </c>
      <c r="C116" s="37"/>
      <c r="D116" s="37">
        <v>45.0</v>
      </c>
      <c r="E116" s="37">
        <v>35.0</v>
      </c>
      <c r="F116" s="37">
        <v>15.0</v>
      </c>
      <c r="G116" s="37">
        <v>23625.0</v>
      </c>
      <c r="H116" s="37">
        <v>2.0</v>
      </c>
      <c r="I116" s="37">
        <v>5000.0</v>
      </c>
      <c r="J116" s="37">
        <v>4.725</v>
      </c>
      <c r="K116" s="37">
        <v>4.725</v>
      </c>
      <c r="L116" s="38">
        <v>0.1</v>
      </c>
    </row>
    <row r="117">
      <c r="A117" s="36" t="s">
        <v>230</v>
      </c>
      <c r="B117" s="36" t="s">
        <v>252</v>
      </c>
      <c r="C117" s="37"/>
      <c r="D117" s="37">
        <v>30.0</v>
      </c>
      <c r="E117" s="37">
        <v>20.0</v>
      </c>
      <c r="F117" s="37">
        <v>20.0</v>
      </c>
      <c r="G117" s="37">
        <v>12000.0</v>
      </c>
      <c r="H117" s="37">
        <v>1.5</v>
      </c>
      <c r="I117" s="37">
        <v>5000.0</v>
      </c>
      <c r="J117" s="37">
        <v>2.4</v>
      </c>
      <c r="K117" s="37">
        <v>2.4</v>
      </c>
      <c r="L117" s="38">
        <v>0.2</v>
      </c>
    </row>
    <row r="118">
      <c r="A118" s="36" t="s">
        <v>230</v>
      </c>
      <c r="B118" s="36" t="s">
        <v>253</v>
      </c>
      <c r="C118" s="37"/>
      <c r="D118" s="37">
        <v>40.0</v>
      </c>
      <c r="E118" s="37">
        <v>25.0</v>
      </c>
      <c r="F118" s="37">
        <v>25.0</v>
      </c>
      <c r="G118" s="37">
        <v>25000.0</v>
      </c>
      <c r="H118" s="37">
        <v>3.0</v>
      </c>
      <c r="I118" s="37">
        <v>5000.0</v>
      </c>
      <c r="J118" s="37">
        <v>5.0</v>
      </c>
      <c r="K118" s="37">
        <v>5.0</v>
      </c>
      <c r="L118" s="38">
        <v>0.25</v>
      </c>
    </row>
    <row r="119">
      <c r="A119" s="36" t="s">
        <v>230</v>
      </c>
      <c r="B119" s="36" t="s">
        <v>254</v>
      </c>
      <c r="C119" s="37"/>
      <c r="D119" s="37">
        <v>30.0</v>
      </c>
      <c r="E119" s="37">
        <v>30.0</v>
      </c>
      <c r="F119" s="37">
        <v>10.0</v>
      </c>
      <c r="G119" s="37">
        <v>9000.0</v>
      </c>
      <c r="H119" s="37">
        <v>1.0</v>
      </c>
      <c r="I119" s="37">
        <v>5000.0</v>
      </c>
      <c r="J119" s="37">
        <v>1.8</v>
      </c>
      <c r="K119" s="37">
        <v>1.8</v>
      </c>
      <c r="L119" s="38">
        <v>0.15</v>
      </c>
    </row>
    <row r="120">
      <c r="A120" s="36" t="s">
        <v>230</v>
      </c>
      <c r="B120" s="36" t="s">
        <v>255</v>
      </c>
      <c r="C120" s="37"/>
      <c r="D120" s="37">
        <v>20.0</v>
      </c>
      <c r="E120" s="37">
        <v>15.0</v>
      </c>
      <c r="F120" s="37">
        <v>15.0</v>
      </c>
      <c r="G120" s="37">
        <v>4500.0</v>
      </c>
      <c r="H120" s="37">
        <v>1.5</v>
      </c>
      <c r="I120" s="37">
        <v>5000.0</v>
      </c>
      <c r="J120" s="37">
        <v>0.9</v>
      </c>
      <c r="K120" s="37">
        <v>1.5</v>
      </c>
      <c r="L120" s="38">
        <v>0.15</v>
      </c>
    </row>
    <row r="121">
      <c r="A121" s="36" t="s">
        <v>230</v>
      </c>
      <c r="B121" s="36" t="s">
        <v>256</v>
      </c>
      <c r="C121" s="37"/>
      <c r="D121" s="37">
        <v>40.0</v>
      </c>
      <c r="E121" s="37">
        <v>20.0</v>
      </c>
      <c r="F121" s="37">
        <v>20.0</v>
      </c>
      <c r="G121" s="37">
        <v>16000.0</v>
      </c>
      <c r="H121" s="37">
        <v>0.5</v>
      </c>
      <c r="I121" s="37">
        <v>5000.0</v>
      </c>
      <c r="J121" s="37">
        <v>3.2</v>
      </c>
      <c r="K121" s="37">
        <v>3.2</v>
      </c>
      <c r="L121" s="38">
        <v>0.15</v>
      </c>
    </row>
    <row r="122">
      <c r="A122" s="36" t="s">
        <v>230</v>
      </c>
      <c r="B122" s="36" t="s">
        <v>257</v>
      </c>
      <c r="C122" s="37"/>
      <c r="D122" s="37">
        <v>30.0</v>
      </c>
      <c r="E122" s="37">
        <v>30.0</v>
      </c>
      <c r="F122" s="37">
        <v>30.0</v>
      </c>
      <c r="G122" s="37">
        <v>27000.0</v>
      </c>
      <c r="H122" s="37">
        <v>2.0</v>
      </c>
      <c r="I122" s="37">
        <v>5000.0</v>
      </c>
      <c r="J122" s="37">
        <v>5.4</v>
      </c>
      <c r="K122" s="37">
        <v>5.4</v>
      </c>
      <c r="L122" s="38">
        <v>0.2</v>
      </c>
    </row>
    <row r="123">
      <c r="A123" s="36" t="s">
        <v>230</v>
      </c>
      <c r="B123" s="36" t="s">
        <v>258</v>
      </c>
      <c r="C123" s="37"/>
      <c r="D123" s="37">
        <v>35.0</v>
      </c>
      <c r="E123" s="37">
        <v>30.0</v>
      </c>
      <c r="F123" s="37">
        <v>30.0</v>
      </c>
      <c r="G123" s="37">
        <v>31500.0</v>
      </c>
      <c r="H123" s="37">
        <v>1.5</v>
      </c>
      <c r="I123" s="37">
        <v>5000.0</v>
      </c>
      <c r="J123" s="37">
        <v>6.3</v>
      </c>
      <c r="K123" s="37">
        <v>6.3</v>
      </c>
      <c r="L123" s="38">
        <v>0.2</v>
      </c>
    </row>
    <row r="124">
      <c r="A124" s="36" t="s">
        <v>230</v>
      </c>
      <c r="B124" s="36" t="s">
        <v>259</v>
      </c>
      <c r="C124" s="37"/>
      <c r="D124" s="37">
        <v>20.0</v>
      </c>
      <c r="E124" s="37">
        <v>15.0</v>
      </c>
      <c r="F124" s="37">
        <v>5.0</v>
      </c>
      <c r="G124" s="37">
        <v>1500.0</v>
      </c>
      <c r="H124" s="37">
        <v>0.4</v>
      </c>
      <c r="I124" s="37">
        <v>5000.0</v>
      </c>
      <c r="J124" s="37">
        <v>0.3</v>
      </c>
      <c r="K124" s="37">
        <v>0.4</v>
      </c>
      <c r="L124" s="38">
        <v>0.1</v>
      </c>
    </row>
    <row r="125">
      <c r="A125" s="36" t="s">
        <v>230</v>
      </c>
      <c r="B125" s="36" t="s">
        <v>260</v>
      </c>
      <c r="C125" s="37"/>
      <c r="D125" s="37">
        <v>60.0</v>
      </c>
      <c r="E125" s="37">
        <v>20.0</v>
      </c>
      <c r="F125" s="37">
        <v>10.0</v>
      </c>
      <c r="G125" s="37">
        <v>12000.0</v>
      </c>
      <c r="H125" s="37">
        <v>2.5</v>
      </c>
      <c r="I125" s="37">
        <v>5000.0</v>
      </c>
      <c r="J125" s="37">
        <v>2.4</v>
      </c>
      <c r="K125" s="37">
        <v>2.5</v>
      </c>
      <c r="L125" s="38">
        <v>0.15</v>
      </c>
    </row>
    <row r="126">
      <c r="A126" s="36" t="s">
        <v>230</v>
      </c>
      <c r="B126" s="36" t="s">
        <v>261</v>
      </c>
      <c r="C126" s="37"/>
      <c r="D126" s="37">
        <v>40.0</v>
      </c>
      <c r="E126" s="37">
        <v>40.0</v>
      </c>
      <c r="F126" s="37">
        <v>40.0</v>
      </c>
      <c r="G126" s="37">
        <v>64000.0</v>
      </c>
      <c r="H126" s="37">
        <v>3.5</v>
      </c>
      <c r="I126" s="37">
        <v>5000.0</v>
      </c>
      <c r="J126" s="37">
        <v>12.8</v>
      </c>
      <c r="K126" s="37">
        <v>12.8</v>
      </c>
      <c r="L126" s="38">
        <v>0.15</v>
      </c>
    </row>
    <row r="127">
      <c r="A127" s="36" t="s">
        <v>230</v>
      </c>
      <c r="B127" s="36" t="s">
        <v>262</v>
      </c>
      <c r="C127" s="37"/>
      <c r="D127" s="37">
        <v>50.0</v>
      </c>
      <c r="E127" s="37">
        <v>50.0</v>
      </c>
      <c r="F127" s="37">
        <v>20.0</v>
      </c>
      <c r="G127" s="37">
        <v>50000.0</v>
      </c>
      <c r="H127" s="37">
        <v>5.0</v>
      </c>
      <c r="I127" s="37">
        <v>5000.0</v>
      </c>
      <c r="J127" s="37">
        <v>10.0</v>
      </c>
      <c r="K127" s="37">
        <v>10.0</v>
      </c>
      <c r="L127" s="38">
        <v>0.2</v>
      </c>
    </row>
    <row r="128">
      <c r="A128" s="36" t="s">
        <v>230</v>
      </c>
      <c r="B128" s="36" t="s">
        <v>263</v>
      </c>
      <c r="C128" s="37"/>
      <c r="D128" s="37">
        <v>60.0</v>
      </c>
      <c r="E128" s="37">
        <v>25.0</v>
      </c>
      <c r="F128" s="37">
        <v>25.0</v>
      </c>
      <c r="G128" s="37">
        <v>37500.0</v>
      </c>
      <c r="H128" s="37">
        <v>2.0</v>
      </c>
      <c r="I128" s="37">
        <v>5000.0</v>
      </c>
      <c r="J128" s="37">
        <v>7.5</v>
      </c>
      <c r="K128" s="37">
        <v>7.5</v>
      </c>
      <c r="L128" s="38">
        <v>0.2</v>
      </c>
    </row>
    <row r="129">
      <c r="A129" s="36" t="s">
        <v>230</v>
      </c>
      <c r="B129" s="36" t="s">
        <v>264</v>
      </c>
      <c r="C129" s="37"/>
      <c r="D129" s="37">
        <v>40.0</v>
      </c>
      <c r="E129" s="37">
        <v>30.0</v>
      </c>
      <c r="F129" s="37">
        <v>20.0</v>
      </c>
      <c r="G129" s="37">
        <v>24000.0</v>
      </c>
      <c r="H129" s="37">
        <v>1.5</v>
      </c>
      <c r="I129" s="37">
        <v>5000.0</v>
      </c>
      <c r="J129" s="37">
        <v>4.8</v>
      </c>
      <c r="K129" s="37">
        <v>4.8</v>
      </c>
      <c r="L129" s="38">
        <v>0.15</v>
      </c>
    </row>
    <row r="130">
      <c r="A130" s="36" t="s">
        <v>230</v>
      </c>
      <c r="B130" s="36" t="s">
        <v>265</v>
      </c>
      <c r="C130" s="37"/>
      <c r="D130" s="37">
        <v>25.0</v>
      </c>
      <c r="E130" s="37">
        <v>20.0</v>
      </c>
      <c r="F130" s="37">
        <v>15.0</v>
      </c>
      <c r="G130" s="37">
        <v>7500.0</v>
      </c>
      <c r="H130" s="37">
        <v>0.8</v>
      </c>
      <c r="I130" s="37">
        <v>5000.0</v>
      </c>
      <c r="J130" s="37">
        <v>1.5</v>
      </c>
      <c r="K130" s="37">
        <v>1.5</v>
      </c>
      <c r="L130" s="38">
        <v>0.1</v>
      </c>
    </row>
    <row r="131">
      <c r="A131" s="36" t="s">
        <v>230</v>
      </c>
      <c r="B131" s="36" t="s">
        <v>266</v>
      </c>
      <c r="C131" s="37"/>
      <c r="D131" s="37">
        <v>15.0</v>
      </c>
      <c r="E131" s="37">
        <v>10.0</v>
      </c>
      <c r="F131" s="37">
        <v>10.0</v>
      </c>
      <c r="G131" s="37">
        <v>1500.0</v>
      </c>
      <c r="H131" s="37">
        <v>0.5</v>
      </c>
      <c r="I131" s="37">
        <v>5000.0</v>
      </c>
      <c r="J131" s="37">
        <v>0.3</v>
      </c>
      <c r="K131" s="37">
        <v>0.5</v>
      </c>
      <c r="L131" s="38">
        <v>0.15</v>
      </c>
    </row>
    <row r="132">
      <c r="A132" s="36" t="s">
        <v>230</v>
      </c>
      <c r="B132" s="36" t="s">
        <v>267</v>
      </c>
      <c r="C132" s="37"/>
      <c r="D132" s="37">
        <v>20.0</v>
      </c>
      <c r="E132" s="37">
        <v>10.0</v>
      </c>
      <c r="F132" s="37">
        <v>10.0</v>
      </c>
      <c r="G132" s="37">
        <v>2000.0</v>
      </c>
      <c r="H132" s="37">
        <v>0.8</v>
      </c>
      <c r="I132" s="37">
        <v>5000.0</v>
      </c>
      <c r="J132" s="37">
        <v>0.4</v>
      </c>
      <c r="K132" s="37">
        <v>0.8</v>
      </c>
      <c r="L132" s="38">
        <v>0.15</v>
      </c>
    </row>
    <row r="133">
      <c r="A133" s="36" t="s">
        <v>230</v>
      </c>
      <c r="B133" s="36" t="s">
        <v>268</v>
      </c>
      <c r="C133" s="37"/>
      <c r="D133" s="37">
        <v>20.0</v>
      </c>
      <c r="E133" s="37">
        <v>15.0</v>
      </c>
      <c r="F133" s="37">
        <v>15.0</v>
      </c>
      <c r="G133" s="37">
        <v>4500.0</v>
      </c>
      <c r="H133" s="37">
        <v>0.6</v>
      </c>
      <c r="I133" s="37">
        <v>5000.0</v>
      </c>
      <c r="J133" s="37">
        <v>0.9</v>
      </c>
      <c r="K133" s="37">
        <v>0.9</v>
      </c>
      <c r="L133" s="38">
        <v>0.15</v>
      </c>
    </row>
    <row r="134">
      <c r="A134" s="36" t="s">
        <v>230</v>
      </c>
      <c r="B134" s="36" t="s">
        <v>269</v>
      </c>
      <c r="C134" s="37"/>
      <c r="D134" s="37">
        <v>25.0</v>
      </c>
      <c r="E134" s="37">
        <v>10.0</v>
      </c>
      <c r="F134" s="37">
        <v>5.0</v>
      </c>
      <c r="G134" s="37">
        <v>1250.0</v>
      </c>
      <c r="H134" s="37">
        <v>0.3</v>
      </c>
      <c r="I134" s="37">
        <v>5000.0</v>
      </c>
      <c r="J134" s="37">
        <v>0.25</v>
      </c>
      <c r="K134" s="37">
        <v>0.3</v>
      </c>
      <c r="L134" s="38">
        <v>0.1</v>
      </c>
    </row>
  </sheetData>
  <drawing r:id="rId1"/>
</worksheet>
</file>